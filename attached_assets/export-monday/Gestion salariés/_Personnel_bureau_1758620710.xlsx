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👩‍💻 personnel bureau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29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4"/>
      <family val="1"/>
      <b val="1"/>
      <color rgb="FFA25DDC"/>
    </font>
  </fonts>
  <fills count="2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AB641"/>
      </patternFill>
    </fill>
    <fill>
      <patternFill patternType="solid">
        <fgColor rgb="FFDF2F4A"/>
      </patternFill>
    </fill>
    <fill>
      <patternFill patternType="solid">
        <fgColor rgb="FFCAB641"/>
      </patternFill>
    </fill>
    <fill>
      <patternFill patternType="solid">
        <fgColor rgb="FFCAB641"/>
      </patternFill>
    </fill>
    <fill>
      <patternFill patternType="solid">
        <fgColor rgb="FFC4C4C4"/>
      </patternFill>
    </fill>
    <fill>
      <patternFill patternType="solid">
        <fgColor rgb="FF037F4C"/>
      </patternFill>
    </fill>
    <fill>
      <patternFill patternType="solid">
        <fgColor rgb="FFFDAB3D"/>
      </patternFill>
    </fill>
    <fill>
      <patternFill patternType="solid">
        <fgColor rgb="FF037F4C"/>
      </patternFill>
    </fill>
    <fill>
      <patternFill patternType="solid">
        <fgColor rgb="FF037F4C"/>
      </patternFill>
    </fill>
    <fill>
      <patternFill patternType="solid">
        <fgColor rgb="FF175A63"/>
      </patternFill>
    </fill>
    <fill>
      <patternFill patternType="solid">
        <fgColor rgb="FF00C875"/>
      </patternFill>
    </fill>
    <fill>
      <patternFill patternType="solid">
        <fgColor rgb="FF66CCFF"/>
      </patternFill>
    </fill>
    <fill>
      <patternFill patternType="solid">
        <fgColor rgb="FFC4C4C4"/>
      </patternFill>
    </fill>
    <fill>
      <patternFill patternType="solid">
        <fgColor rgb="FF5559DF"/>
      </patternFill>
    </fill>
    <fill>
      <patternFill patternType="solid">
        <fgColor rgb="FF216EDF"/>
      </patternFill>
    </fill>
    <fill>
      <patternFill patternType="solid">
        <fgColor rgb="FFBB3354"/>
      </patternFill>
    </fill>
    <fill>
      <patternFill patternType="solid">
        <fgColor rgb="FFEFEFE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175A63"/>
      </left>
      <right style="thick">
        <color rgb="FF175A63"/>
      </right>
      <top style="thick">
        <color rgb="FF175A63"/>
      </top>
      <bottom style="thick">
        <color rgb="FF175A63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</border>
  </borders>
  <cellStyleXfs count="1">
    <xf borderId="0" numFmtId="0" fontId="0" fillId="0"/>
  </cellStyleXfs>
  <cellXfs count="3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8" numFmtId="0" fontId="16" fillId="13" applyNumberFormat="0" applyFill="1" applyFont="1" applyBorder="1" applyAlignment="1" applyProtection="0">
      <alignment horizontal="center" vertical="center"/>
    </xf>
    <xf borderId="9" numFmtId="0" fontId="17" fillId="14" applyNumberFormat="0" applyFill="1" applyFont="1" applyBorder="1" applyAlignment="1" applyProtection="0">
      <alignment horizontal="center" vertical="center"/>
    </xf>
    <xf borderId="10" numFmtId="0" fontId="18" fillId="15" applyNumberFormat="0" applyFill="1" applyFont="1" applyBorder="1" applyAlignment="1" applyProtection="0">
      <alignment horizontal="center" vertical="center"/>
    </xf>
    <xf borderId="11" numFmtId="0" fontId="19" fillId="16" applyNumberFormat="0" applyFill="1" applyFont="1" applyBorder="1" applyAlignment="1" applyProtection="0">
      <alignment horizontal="center" vertical="center"/>
    </xf>
    <xf borderId="12" numFmtId="0" fontId="20" fillId="17" applyNumberFormat="0" applyFill="1" applyFont="1" applyBorder="1" applyAlignment="1" applyProtection="0">
      <alignment horizontal="center" vertical="center"/>
    </xf>
    <xf borderId="13" numFmtId="0" fontId="21" fillId="18" applyNumberFormat="0" applyFill="1" applyFont="1" applyBorder="1" applyAlignment="1" applyProtection="0">
      <alignment horizontal="center" vertical="center"/>
    </xf>
    <xf borderId="14" numFmtId="0" fontId="22" fillId="19" applyNumberFormat="0" applyFill="1" applyFont="1" applyBorder="1" applyAlignment="1" applyProtection="0">
      <alignment horizontal="center" vertical="center"/>
    </xf>
    <xf borderId="15" numFmtId="0" fontId="23" fillId="20" applyNumberFormat="0" applyFill="1" applyFont="1" applyBorder="1" applyAlignment="1" applyProtection="0">
      <alignment horizontal="center" vertical="center"/>
    </xf>
    <xf borderId="16" numFmtId="0" fontId="24" fillId="21" applyNumberFormat="0" applyFill="1" applyFont="1" applyBorder="1" applyAlignment="1" applyProtection="0">
      <alignment horizontal="center" vertical="center"/>
    </xf>
    <xf borderId="17" numFmtId="0" fontId="25" fillId="22" applyNumberFormat="0" applyFill="1" applyFont="1" applyBorder="1" applyAlignment="1" applyProtection="0">
      <alignment horizontal="center" vertical="center"/>
    </xf>
    <xf borderId="0" numFmtId="0" fontId="26" fillId="23" applyNumberFormat="0" applyFill="1" applyFont="1" applyBorder="0" applyAlignment="1" applyProtection="0">
      <alignment horizontal="center" vertical="center"/>
    </xf>
    <xf borderId="0" numFmtId="0" fontId="27" fillId="0" applyNumberFormat="0" applyFill="0" applyFont="1" applyBorder="0" applyAlignment="1" applyProtection="0">
      <alignment vertical="center"/>
    </xf>
    <xf borderId="0" numFmtId="0" fontId="28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1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4.6"/>
    <col min="2" max="2" bestFit="1" customWidth="1" width="23.1"/>
    <col min="3" max="3" bestFit="1" customWidth="1" width="16.5"/>
    <col min="4" max="4" bestFit="1" customWidth="1" width="36.3"/>
    <col min="5" max="5" bestFit="1" customWidth="1" width="28.6"/>
    <col min="6" max="6" bestFit="1" customWidth="1" width="36.3"/>
    <col min="7" max="7" bestFit="1" customWidth="1" width="9.899999999999999"/>
    <col min="8" max="8" bestFit="1" customWidth="1" width="18.15"/>
    <col min="9" max="9" bestFit="1" customWidth="1" width="13.200000000000001"/>
    <col min="10" max="10" bestFit="1" customWidth="1" width="9.899999999999999"/>
    <col min="11" max="11" bestFit="1" customWidth="1" width="12.100000000000001"/>
    <col min="12" max="12" bestFit="1" customWidth="1" width="16.5"/>
    <col min="13" max="13" bestFit="1" customWidth="1" width="18.15"/>
    <col min="14" max="14" bestFit="1" customWidth="1" width="16.5"/>
    <col min="15" max="15" bestFit="1" customWidth="1" width="18.15"/>
    <col min="16" max="16" bestFit="1" customWidth="1" width="16.5"/>
    <col min="17" max="17" bestFit="1" customWidth="1" width="16.5"/>
    <col min="18" max="18" bestFit="1" customWidth="1" width="16.5"/>
    <col min="19" max="19" bestFit="1" customWidth="1" width="16.5"/>
    <col min="20" max="20" bestFit="1" customWidth="1" width="33.0"/>
    <col min="21" max="21" bestFit="1" customWidth="1" width="31.349999999999998"/>
    <col min="22" max="22" bestFit="1" customWidth="1" width="29.7"/>
    <col min="23" max="23" bestFit="1" customWidth="1" width="11.549999999999999"/>
    <col min="24" max="24" bestFit="1" customWidth="1" width="8.25"/>
    <col min="25" max="25" bestFit="1" customWidth="1" width="9.899999999999999"/>
    <col min="26" max="26" bestFit="1" customWidth="1" width="13.2"/>
    <col min="27" max="27" bestFit="1" customWidth="1" width="41.25"/>
  </cols>
  <sheetData>
    <row customHeight="1" ht="40" r="1">
      <c r="A1" s="4" t="inlineStr">
        <is>
          <t>👩‍💻 Personnel bureau</t>
        </is>
      </c>
    </row>
    <row customHeight="1" ht="20" r="2">
      <c r="A2" s="15" t="inlineStr">
        <is>
          <t>21-10-01 Liste du personnel et TH</t>
        </is>
      </c>
    </row>
    <row customHeight="1" ht="20" r="3">
      <c r="A3" s="7" t="inlineStr">
        <is>
          <t>Name</t>
        </is>
      </c>
      <c r="B3" s="6" t="inlineStr">
        <is>
          <t>Emploi</t>
        </is>
      </c>
      <c r="C3" s="6" t="inlineStr">
        <is>
          <t>Ancienneté</t>
        </is>
      </c>
      <c r="D3" s="6" t="inlineStr">
        <is>
          <t>Date Entrée</t>
        </is>
      </c>
      <c r="E3" s="6" t="inlineStr">
        <is>
          <t>Date Sortie</t>
        </is>
      </c>
      <c r="F3" s="6" t="inlineStr">
        <is>
          <t>Date Naissance</t>
        </is>
      </c>
      <c r="G3" s="6" t="inlineStr">
        <is>
          <t>AGE</t>
        </is>
      </c>
      <c r="H3" s="6" t="inlineStr">
        <is>
          <t>Tranche âge</t>
        </is>
      </c>
      <c r="I3" s="6" t="inlineStr">
        <is>
          <t>Qualif</t>
        </is>
      </c>
      <c r="J3" s="6" t="inlineStr">
        <is>
          <t>Coef</t>
        </is>
      </c>
      <c r="K3" s="6" t="inlineStr">
        <is>
          <t>Temps</t>
        </is>
      </c>
      <c r="L3" s="6" t="inlineStr">
        <is>
          <t>Th 2025</t>
        </is>
      </c>
      <c r="M3" s="6" t="inlineStr">
        <is>
          <t>Prime 2025</t>
        </is>
      </c>
      <c r="N3" s="6" t="inlineStr">
        <is>
          <t>Th 2024</t>
        </is>
      </c>
      <c r="O3" s="6" t="inlineStr">
        <is>
          <t>Prime 2024</t>
        </is>
      </c>
      <c r="P3" s="6" t="inlineStr">
        <is>
          <t>Th 2023</t>
        </is>
      </c>
      <c r="Q3" s="6" t="inlineStr">
        <is>
          <t>Th 2022</t>
        </is>
      </c>
      <c r="R3" s="6" t="inlineStr">
        <is>
          <t>Th 2021</t>
        </is>
      </c>
      <c r="S3" s="6" t="inlineStr">
        <is>
          <t>Th 2020</t>
        </is>
      </c>
      <c r="T3" s="6" t="inlineStr">
        <is>
          <t>📈 24-25</t>
        </is>
      </c>
      <c r="U3" s="6" t="inlineStr">
        <is>
          <t>📈 23-24</t>
        </is>
      </c>
      <c r="V3" s="6" t="inlineStr">
        <is>
          <t>📈 22-23</t>
        </is>
      </c>
      <c r="W3" s="6" t="inlineStr">
        <is>
          <t>Adresse</t>
        </is>
      </c>
      <c r="X3" s="6" t="inlineStr">
        <is>
          <t>Lieu</t>
        </is>
      </c>
      <c r="Y3" s="6" t="inlineStr">
        <is>
          <t>Contrat</t>
        </is>
      </c>
      <c r="Z3" s="6" t="inlineStr">
        <is>
          <t>Mutuelle</t>
        </is>
      </c>
      <c r="AA3" s="6" t="inlineStr">
        <is>
          <t>Cout mutuelle salarié paie novembre</t>
        </is>
      </c>
    </row>
    <row customHeight="1" ht="20" r="4">
      <c r="A4" s="3" t="inlineStr">
        <is>
          <t>BAUDART Sylvie</t>
        </is>
      </c>
      <c r="B4" s="16" t="inlineStr">
        <is>
          <t>Technicienne Etudes de prix</t>
        </is>
      </c>
      <c r="C4" s="14" t="n">
        <v>16</v>
      </c>
      <c r="D4" s="13">
        <v>39881.0</v>
      </c>
      <c r="E4" s="13" t="inlineStr">
        <is>
          <t/>
        </is>
      </c>
      <c r="F4" s="13">
        <v>29007.0</v>
      </c>
      <c r="G4" s="14" t="n">
        <v>46</v>
      </c>
      <c r="H4" s="17" t="inlineStr">
        <is>
          <t>40-50</t>
        </is>
      </c>
      <c r="I4" s="18" t="inlineStr">
        <is>
          <t>N6 Coef260</t>
        </is>
      </c>
      <c r="J4" s="19" t="n">
        <v>260</v>
      </c>
      <c r="K4" s="14" t="inlineStr">
        <is>
          <t>169H-4J</t>
        </is>
      </c>
      <c r="L4" s="14" t="n">
        <v>3150.0</v>
      </c>
      <c r="M4" s="14" t="n">
        <v>1500</v>
      </c>
      <c r="N4" s="14" t="n">
        <v>3049.0</v>
      </c>
      <c r="O4" s="14" t="n">
        <v>1000</v>
      </c>
      <c r="P4" s="14" t="n">
        <v>2906.0</v>
      </c>
      <c r="Q4" s="14" t="n">
        <v>2819</v>
      </c>
      <c r="R4" s="14" t="n">
        <v>2819</v>
      </c>
      <c r="S4" s="14" t="n">
        <v>2600</v>
      </c>
      <c r="T4" s="14" t="n">
        <v>3.3125614956</v>
      </c>
      <c r="U4" s="14" t="n">
        <v>4.9208534067</v>
      </c>
      <c r="V4" s="14" t="n">
        <v>3.0862007804</v>
      </c>
      <c r="W4" s="14" t="inlineStr">
        <is>
          <t/>
        </is>
      </c>
      <c r="X4" s="14" t="inlineStr">
        <is>
          <t/>
        </is>
      </c>
      <c r="Y4" s="20"/>
      <c r="Z4" s="14" t="inlineStr">
        <is>
          <t/>
        </is>
      </c>
      <c r="AA4" s="14" t="inlineStr">
        <is>
          <t/>
        </is>
      </c>
    </row>
    <row customHeight="1" ht="20" r="5">
      <c r="A5" s="3" t="inlineStr">
        <is>
          <t>COMBAZ Ludivine</t>
        </is>
      </c>
      <c r="B5" s="21" t="inlineStr">
        <is>
          <t>Assistante de direction</t>
        </is>
      </c>
      <c r="C5" s="14" t="n">
        <v>4</v>
      </c>
      <c r="D5" s="13">
        <v>44348.0</v>
      </c>
      <c r="E5" s="13" t="inlineStr">
        <is>
          <t/>
        </is>
      </c>
      <c r="F5" s="13">
        <v>32868.0</v>
      </c>
      <c r="G5" s="14" t="n">
        <v>36</v>
      </c>
      <c r="H5" s="22" t="inlineStr">
        <is>
          <t>30-35</t>
        </is>
      </c>
      <c r="I5" s="23" t="inlineStr">
        <is>
          <t>N3 Coef190</t>
        </is>
      </c>
      <c r="J5" s="24" t="n">
        <v>190</v>
      </c>
      <c r="K5" s="14" t="inlineStr">
        <is>
          <t>151H</t>
        </is>
      </c>
      <c r="L5" s="14" t="n">
        <v>2600.0</v>
      </c>
      <c r="M5" s="14" t="n">
        <v>500</v>
      </c>
      <c r="N5" s="14" t="n">
        <v>2530</v>
      </c>
      <c r="O5" s="14" t="inlineStr">
        <is>
          <t/>
        </is>
      </c>
      <c r="P5" s="14" t="n">
        <v>2411.0</v>
      </c>
      <c r="Q5" s="14" t="n">
        <v>2003</v>
      </c>
      <c r="R5" s="14" t="n">
        <v>1766</v>
      </c>
      <c r="S5" s="14" t="inlineStr">
        <is>
          <t/>
        </is>
      </c>
      <c r="T5" s="14" t="n">
        <v>2.766798419</v>
      </c>
      <c r="U5" s="14" t="n">
        <v>4.9357113231</v>
      </c>
      <c r="V5" s="14" t="n">
        <v>20.3694458313</v>
      </c>
      <c r="W5" s="14" t="inlineStr">
        <is>
          <t/>
        </is>
      </c>
      <c r="X5" s="14" t="inlineStr">
        <is>
          <t/>
        </is>
      </c>
      <c r="Y5" s="20"/>
      <c r="Z5" s="14" t="inlineStr">
        <is>
          <t/>
        </is>
      </c>
      <c r="AA5" s="14" t="inlineStr">
        <is>
          <t/>
        </is>
      </c>
    </row>
    <row customHeight="1" ht="20" r="6">
      <c r="A6" s="3" t="inlineStr">
        <is>
          <t>WISSOCQ Laurent</t>
        </is>
      </c>
      <c r="B6" s="25" t="inlineStr">
        <is>
          <t>Conducteur de Travaux</t>
        </is>
      </c>
      <c r="C6" s="14" t="n">
        <v>3</v>
      </c>
      <c r="D6" s="13">
        <v>44837.0</v>
      </c>
      <c r="E6" s="13" t="inlineStr">
        <is>
          <t/>
        </is>
      </c>
      <c r="F6" s="13">
        <v>31625.0</v>
      </c>
      <c r="G6" s="14" t="n">
        <v>39</v>
      </c>
      <c r="H6" s="26" t="inlineStr">
        <is>
          <t>35-40</t>
        </is>
      </c>
      <c r="I6" s="27" t="inlineStr">
        <is>
          <t>ETAM D</t>
        </is>
      </c>
      <c r="J6" s="28"/>
      <c r="K6" s="14" t="inlineStr">
        <is>
          <t>169H</t>
        </is>
      </c>
      <c r="L6" s="14" t="inlineStr">
        <is>
          <t/>
        </is>
      </c>
      <c r="M6" s="14" t="n">
        <v>0</v>
      </c>
      <c r="N6" s="14" t="n">
        <v>2506</v>
      </c>
      <c r="O6" s="14" t="n">
        <v>500</v>
      </c>
      <c r="P6" s="14" t="n">
        <v>2443</v>
      </c>
      <c r="Q6" s="14" t="n">
        <v>2160</v>
      </c>
      <c r="R6" s="14" t="inlineStr">
        <is>
          <t/>
        </is>
      </c>
      <c r="S6" s="14" t="inlineStr">
        <is>
          <t/>
        </is>
      </c>
      <c r="T6" s="14" t="n">
        <v>-100</v>
      </c>
      <c r="U6" s="14" t="n">
        <v>2.5787965616</v>
      </c>
      <c r="V6" s="14" t="n">
        <v>13.1018518519</v>
      </c>
      <c r="W6" s="14" t="inlineStr">
        <is>
          <t/>
        </is>
      </c>
      <c r="X6" s="14" t="inlineStr">
        <is>
          <t/>
        </is>
      </c>
      <c r="Y6" s="20"/>
      <c r="Z6" s="14" t="inlineStr">
        <is>
          <t/>
        </is>
      </c>
      <c r="AA6" s="14" t="inlineStr">
        <is>
          <t/>
        </is>
      </c>
    </row>
    <row customHeight="1" ht="20" r="7">
      <c r="A7" s="3" t="inlineStr">
        <is>
          <t>LOVERGNE Nicolas</t>
        </is>
      </c>
      <c r="B7" s="29" t="inlineStr">
        <is>
          <t>Resp Etudes techniques</t>
        </is>
      </c>
      <c r="C7" s="14" t="n">
        <v>1</v>
      </c>
      <c r="D7" s="13">
        <v>45467.0</v>
      </c>
      <c r="E7" s="13" t="inlineStr">
        <is>
          <t/>
        </is>
      </c>
      <c r="F7" s="13">
        <v>32652.0</v>
      </c>
      <c r="G7" s="14" t="n">
        <v>36</v>
      </c>
      <c r="H7" s="22" t="inlineStr">
        <is>
          <t>30-35</t>
        </is>
      </c>
      <c r="I7" s="27" t="inlineStr">
        <is>
          <t>ETAM D</t>
        </is>
      </c>
      <c r="J7" s="28"/>
      <c r="K7" s="14" t="inlineStr">
        <is>
          <t>169H</t>
        </is>
      </c>
      <c r="L7" s="14" t="n">
        <v>2870</v>
      </c>
      <c r="M7" s="14" t="n">
        <v>0</v>
      </c>
      <c r="N7" s="14" t="n">
        <v>2800</v>
      </c>
      <c r="O7" s="14" t="inlineStr">
        <is>
          <t/>
        </is>
      </c>
      <c r="P7" s="14" t="inlineStr">
        <is>
          <t/>
        </is>
      </c>
      <c r="Q7" s="14" t="inlineStr">
        <is>
          <t/>
        </is>
      </c>
      <c r="R7" s="14" t="inlineStr">
        <is>
          <t/>
        </is>
      </c>
      <c r="S7" s="14" t="inlineStr">
        <is>
          <t/>
        </is>
      </c>
      <c r="T7" s="14" t="n">
        <v>2.5</v>
      </c>
      <c r="U7" s="14"/>
      <c r="V7" s="14"/>
      <c r="W7" s="14" t="inlineStr">
        <is>
          <t/>
        </is>
      </c>
      <c r="X7" s="14" t="inlineStr">
        <is>
          <t/>
        </is>
      </c>
      <c r="Y7" s="20"/>
      <c r="Z7" s="14" t="inlineStr">
        <is>
          <t/>
        </is>
      </c>
      <c r="AA7" s="14" t="inlineStr">
        <is>
          <t/>
        </is>
      </c>
    </row>
    <row customHeight="1" ht="20" r="8">
      <c r="A8" s="3" t="inlineStr">
        <is>
          <t>DUCROCQ Julien</t>
        </is>
      </c>
      <c r="B8" s="30" t="inlineStr">
        <is>
          <t>Chargé d'affaires</t>
        </is>
      </c>
      <c r="C8" s="14" t="n">
        <v>0</v>
      </c>
      <c r="D8" s="13">
        <v>45663.0</v>
      </c>
      <c r="E8" s="13" t="inlineStr">
        <is>
          <t/>
        </is>
      </c>
      <c r="F8" s="13">
        <v>28810.0</v>
      </c>
      <c r="G8" s="14" t="n">
        <v>47</v>
      </c>
      <c r="H8" s="17" t="inlineStr">
        <is>
          <t>40-50</t>
        </is>
      </c>
      <c r="I8" s="27" t="inlineStr">
        <is>
          <t>ETAM D</t>
        </is>
      </c>
      <c r="J8" s="28"/>
      <c r="K8" s="14" t="inlineStr">
        <is>
          <t>169H+1mois</t>
        </is>
      </c>
      <c r="L8" s="14" t="n">
        <v>2900</v>
      </c>
      <c r="M8" s="14" t="n">
        <v>0</v>
      </c>
      <c r="N8" s="14" t="n">
        <v>2900</v>
      </c>
      <c r="O8" s="14" t="inlineStr">
        <is>
          <t/>
        </is>
      </c>
      <c r="P8" s="14" t="inlineStr">
        <is>
          <t/>
        </is>
      </c>
      <c r="Q8" s="14" t="inlineStr">
        <is>
          <t/>
        </is>
      </c>
      <c r="R8" s="14" t="inlineStr">
        <is>
          <t/>
        </is>
      </c>
      <c r="S8" s="14" t="inlineStr">
        <is>
          <t/>
        </is>
      </c>
      <c r="T8" s="14" t="n">
        <v>0</v>
      </c>
      <c r="U8" s="14"/>
      <c r="V8" s="14"/>
      <c r="W8" s="14" t="inlineStr">
        <is>
          <t/>
        </is>
      </c>
      <c r="X8" s="14" t="inlineStr">
        <is>
          <t/>
        </is>
      </c>
      <c r="Y8" s="20"/>
      <c r="Z8" s="14" t="inlineStr">
        <is>
          <t/>
        </is>
      </c>
      <c r="AA8" s="14" t="inlineStr">
        <is>
          <t/>
        </is>
      </c>
    </row>
    <row customHeight="1" ht="20" r="9">
      <c r="A9" s="3" t="inlineStr">
        <is>
          <t>CASTHELAIN France</t>
        </is>
      </c>
      <c r="B9" s="30" t="inlineStr">
        <is>
          <t>Chargé d'affaires</t>
        </is>
      </c>
      <c r="C9" s="14" t="n">
        <v>0</v>
      </c>
      <c r="D9" s="13">
        <v>45719.0</v>
      </c>
      <c r="E9" s="13" t="inlineStr">
        <is>
          <t/>
        </is>
      </c>
      <c r="F9" s="13" t="inlineStr">
        <is>
          <t/>
        </is>
      </c>
      <c r="G9" s="14"/>
      <c r="H9" s="17" t="inlineStr">
        <is>
          <t>40-50</t>
        </is>
      </c>
      <c r="I9" s="31" t="inlineStr">
        <is>
          <t>CADRE</t>
        </is>
      </c>
      <c r="J9" s="28"/>
      <c r="K9" s="14" t="inlineStr">
        <is>
          <t>169H+1mois</t>
        </is>
      </c>
      <c r="L9" s="14" t="n">
        <v>3380</v>
      </c>
      <c r="M9" s="14" t="n">
        <v>0</v>
      </c>
      <c r="N9" s="14" t="n">
        <v>3380</v>
      </c>
      <c r="O9" s="14" t="inlineStr">
        <is>
          <t/>
        </is>
      </c>
      <c r="P9" s="14" t="inlineStr">
        <is>
          <t/>
        </is>
      </c>
      <c r="Q9" s="14" t="inlineStr">
        <is>
          <t/>
        </is>
      </c>
      <c r="R9" s="14" t="inlineStr">
        <is>
          <t/>
        </is>
      </c>
      <c r="S9" s="14" t="inlineStr">
        <is>
          <t/>
        </is>
      </c>
      <c r="T9" s="14" t="n">
        <v>0</v>
      </c>
      <c r="U9" s="14"/>
      <c r="V9" s="14"/>
      <c r="W9" s="14" t="inlineStr">
        <is>
          <t/>
        </is>
      </c>
      <c r="X9" s="14" t="inlineStr">
        <is>
          <t/>
        </is>
      </c>
      <c r="Y9" s="20"/>
      <c r="Z9" s="14" t="inlineStr">
        <is>
          <t/>
        </is>
      </c>
      <c r="AA9" s="14" t="inlineStr">
        <is>
          <t/>
        </is>
      </c>
    </row>
    <row customHeight="1" ht="20" r="10">
      <c r="A10" s="0" t="inlineStr">
        <is>
          <t/>
        </is>
      </c>
      <c r="B10" s="0" t="inlineStr">
        <is>
          <t/>
        </is>
      </c>
      <c r="C10" s="32" t="n">
        <v>4</v>
      </c>
      <c r="D10" s="32" t="inlineStr">
        <is>
          <t>2009-03-09 au 2025-03-03</t>
        </is>
      </c>
      <c r="E10" s="0" t="inlineStr">
        <is>
          <t/>
        </is>
      </c>
      <c r="F10" s="32" t="inlineStr">
        <is>
          <t>1978-11-16 au 1989-12-26</t>
        </is>
      </c>
      <c r="G10" s="32" t="n">
        <v>39</v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32" t="str">
        <f>SUM(L4:L9)</f>
      </c>
      <c r="M10" s="32" t="str">
        <f>SUM(M4:M9)</f>
      </c>
      <c r="N10" s="32" t="str">
        <f>AVERAGE(N4:N9)</f>
      </c>
      <c r="O10" s="32" t="str">
        <f>SUM(O4:O9)</f>
      </c>
      <c r="P10" s="32" t="str">
        <f>AVERAGE(P4:P9)</f>
      </c>
      <c r="Q10" s="32" t="str">
        <f>AVERAGE(Q4:Q9)</f>
      </c>
      <c r="R10" s="32" t="str">
        <f>AVERAGE(R4:R9)</f>
      </c>
      <c r="S10" s="32" t="str">
        <f>AVERAGE(S4:S9)</f>
      </c>
      <c r="T10" s="32" t="n">
        <v>-15.236773347566666</v>
      </c>
      <c r="U10" s="32" t="n">
        <v>4.145120430466666</v>
      </c>
      <c r="V10" s="32" t="n">
        <v>12.1858328212</v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32" t="str">
        <f>SUM(AA4:AA9)</f>
      </c>
    </row>
    <row customHeight="1" ht="40" r="11"/>
    <row customHeight="1" ht="20" r="12">
      <c r="A12" s="33" t="inlineStr">
        <is>
          <t>Sortis</t>
        </is>
      </c>
    </row>
    <row customHeight="1" ht="20" r="13">
      <c r="A13" s="7" t="inlineStr">
        <is>
          <t>Name</t>
        </is>
      </c>
      <c r="B13" s="6" t="inlineStr">
        <is>
          <t>Emploi</t>
        </is>
      </c>
      <c r="C13" s="6" t="inlineStr">
        <is>
          <t>Ancienneté</t>
        </is>
      </c>
      <c r="D13" s="6" t="inlineStr">
        <is>
          <t>Date Entrée</t>
        </is>
      </c>
      <c r="E13" s="6" t="inlineStr">
        <is>
          <t>Date Sortie</t>
        </is>
      </c>
      <c r="F13" s="6" t="inlineStr">
        <is>
          <t>Date Naissance</t>
        </is>
      </c>
      <c r="G13" s="6" t="inlineStr">
        <is>
          <t>AGE</t>
        </is>
      </c>
      <c r="H13" s="6" t="inlineStr">
        <is>
          <t>Tranche âge</t>
        </is>
      </c>
      <c r="I13" s="6" t="inlineStr">
        <is>
          <t>Qualif</t>
        </is>
      </c>
      <c r="J13" s="6" t="inlineStr">
        <is>
          <t>Coef</t>
        </is>
      </c>
      <c r="K13" s="6" t="inlineStr">
        <is>
          <t>Temps</t>
        </is>
      </c>
      <c r="L13" s="6" t="inlineStr">
        <is>
          <t>Th 2025</t>
        </is>
      </c>
      <c r="M13" s="6" t="inlineStr">
        <is>
          <t>Prime 2025</t>
        </is>
      </c>
      <c r="N13" s="6" t="inlineStr">
        <is>
          <t>Th 2024</t>
        </is>
      </c>
      <c r="O13" s="6" t="inlineStr">
        <is>
          <t>Prime 2024</t>
        </is>
      </c>
      <c r="P13" s="6" t="inlineStr">
        <is>
          <t>Th 2023</t>
        </is>
      </c>
      <c r="Q13" s="6" t="inlineStr">
        <is>
          <t>Th 2022</t>
        </is>
      </c>
      <c r="R13" s="6" t="inlineStr">
        <is>
          <t>Th 2021</t>
        </is>
      </c>
      <c r="S13" s="6" t="inlineStr">
        <is>
          <t>Th 2020</t>
        </is>
      </c>
      <c r="T13" s="6" t="inlineStr">
        <is>
          <t>📈 24-25</t>
        </is>
      </c>
      <c r="U13" s="6" t="inlineStr">
        <is>
          <t>📈 23-24</t>
        </is>
      </c>
      <c r="V13" s="6" t="inlineStr">
        <is>
          <t>📈 22-23</t>
        </is>
      </c>
      <c r="W13" s="6" t="inlineStr">
        <is>
          <t>Adresse</t>
        </is>
      </c>
      <c r="X13" s="6" t="inlineStr">
        <is>
          <t>Lieu</t>
        </is>
      </c>
      <c r="Y13" s="6" t="inlineStr">
        <is>
          <t>Contrat</t>
        </is>
      </c>
      <c r="Z13" s="6" t="inlineStr">
        <is>
          <t>Mutuelle</t>
        </is>
      </c>
      <c r="AA13" s="6" t="inlineStr">
        <is>
          <t>Cout mutuelle salarié paie novembre</t>
        </is>
      </c>
    </row>
    <row customHeight="1" ht="20" r="14">
      <c r="A14" s="3" t="inlineStr">
        <is>
          <t>VANBALEGHEM Stéphane</t>
        </is>
      </c>
      <c r="B14" s="29" t="inlineStr">
        <is>
          <t>Resp Etudes techniques</t>
        </is>
      </c>
      <c r="C14" s="14" t="n">
        <v>2</v>
      </c>
      <c r="D14" s="13">
        <v>45113.0</v>
      </c>
      <c r="E14" s="13">
        <v>45644.0</v>
      </c>
      <c r="F14" s="13">
        <v>28884.0</v>
      </c>
      <c r="G14" s="14" t="n">
        <v>46</v>
      </c>
      <c r="H14" s="17" t="inlineStr">
        <is>
          <t>40-50</t>
        </is>
      </c>
      <c r="I14" s="18" t="inlineStr">
        <is>
          <t>N6 Coef260</t>
        </is>
      </c>
      <c r="J14" s="19" t="n">
        <v>260</v>
      </c>
      <c r="K14" s="14" t="inlineStr">
        <is>
          <t>169H</t>
        </is>
      </c>
      <c r="L14" s="14" t="inlineStr">
        <is>
          <t/>
        </is>
      </c>
      <c r="M14" s="14" t="inlineStr">
        <is>
          <t/>
        </is>
      </c>
      <c r="N14" s="14" t="n">
        <v>2935</v>
      </c>
      <c r="O14" s="14" t="inlineStr">
        <is>
          <t/>
        </is>
      </c>
      <c r="P14" s="14" t="n">
        <v>2935</v>
      </c>
      <c r="Q14" s="14" t="n">
        <v>0</v>
      </c>
      <c r="R14" s="14" t="inlineStr">
        <is>
          <t/>
        </is>
      </c>
      <c r="S14" s="14" t="inlineStr">
        <is>
          <t/>
        </is>
      </c>
      <c r="T14" s="14" t="n">
        <v>-100</v>
      </c>
      <c r="U14" s="14" t="n">
        <v>0</v>
      </c>
      <c r="V14" s="14"/>
      <c r="W14" s="14" t="inlineStr">
        <is>
          <t/>
        </is>
      </c>
      <c r="X14" s="14" t="inlineStr">
        <is>
          <t/>
        </is>
      </c>
      <c r="Y14" s="20"/>
      <c r="Z14" s="14" t="inlineStr">
        <is>
          <t/>
        </is>
      </c>
      <c r="AA14" s="14" t="inlineStr">
        <is>
          <t/>
        </is>
      </c>
    </row>
    <row customHeight="1" ht="20" r="15">
      <c r="A15" s="0" t="inlineStr">
        <is>
          <t/>
        </is>
      </c>
      <c r="B15" s="0" t="inlineStr">
        <is>
          <t/>
        </is>
      </c>
      <c r="C15" s="32" t="n">
        <v>2</v>
      </c>
      <c r="D15" s="32" t="inlineStr">
        <is>
          <t>2023-07-06</t>
        </is>
      </c>
      <c r="E15" s="32" t="inlineStr">
        <is>
          <t>2024-12-18</t>
        </is>
      </c>
      <c r="F15" s="32" t="inlineStr">
        <is>
          <t>1979-01-29</t>
        </is>
      </c>
      <c r="G15" s="32" t="n">
        <v>46</v>
      </c>
      <c r="H15" s="0" t="inlineStr">
        <is>
          <t/>
        </is>
      </c>
      <c r="I15" s="0" t="inlineStr">
        <is>
          <t/>
        </is>
      </c>
      <c r="J15" s="0" t="inlineStr">
        <is>
          <t/>
        </is>
      </c>
      <c r="K15" s="0" t="inlineStr">
        <is>
          <t/>
        </is>
      </c>
      <c r="L15" s="32" t="str">
        <f>SUM(L14:L14)</f>
      </c>
      <c r="M15" s="32" t="str">
        <f>SUM(M14:M14)</f>
      </c>
      <c r="N15" s="32" t="str">
        <f>AVERAGE(N14:N14)</f>
      </c>
      <c r="O15" s="32" t="str">
        <f>SUM(O14:O14)</f>
      </c>
      <c r="P15" s="32" t="str">
        <f>AVERAGE(P14:P14)</f>
      </c>
      <c r="Q15" s="32" t="str">
        <f>AVERAGE(Q14:Q14)</f>
      </c>
      <c r="R15" s="32" t="str">
        <f>AVERAGE(R14:R14)</f>
      </c>
      <c r="S15" s="32" t="str">
        <f>AVERAGE(S14:S14)</f>
      </c>
      <c r="T15" s="32" t="n">
        <v>-100</v>
      </c>
      <c r="U15" s="32" t="n">
        <v>0</v>
      </c>
      <c r="V15" s="32" t="inlineStr">
        <is>
          <t>no_numeric_values_available</t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32" t="str">
        <f>SUM(AA14:AA14)</f>
      </c>
    </row>
    <row customHeight="1" ht="40" r="16"/>
    <row customHeight="1" ht="20" r="17">
      <c r="A17" s="34" t="inlineStr">
        <is>
          <t>Titre du groupe</t>
        </is>
      </c>
    </row>
    <row customHeight="1" ht="20" r="18">
      <c r="A18" s="7" t="inlineStr">
        <is>
          <t>Name</t>
        </is>
      </c>
      <c r="B18" s="6" t="inlineStr">
        <is>
          <t>Emploi</t>
        </is>
      </c>
      <c r="C18" s="6" t="inlineStr">
        <is>
          <t>Ancienneté</t>
        </is>
      </c>
      <c r="D18" s="6" t="inlineStr">
        <is>
          <t>Date Entrée</t>
        </is>
      </c>
      <c r="E18" s="6" t="inlineStr">
        <is>
          <t>Date Sortie</t>
        </is>
      </c>
      <c r="F18" s="6" t="inlineStr">
        <is>
          <t>Date Naissance</t>
        </is>
      </c>
      <c r="G18" s="6" t="inlineStr">
        <is>
          <t>AGE</t>
        </is>
      </c>
      <c r="H18" s="6" t="inlineStr">
        <is>
          <t>Tranche âge</t>
        </is>
      </c>
      <c r="I18" s="6" t="inlineStr">
        <is>
          <t>Qualif</t>
        </is>
      </c>
      <c r="J18" s="6" t="inlineStr">
        <is>
          <t>Coef</t>
        </is>
      </c>
      <c r="K18" s="6" t="inlineStr">
        <is>
          <t>Temps</t>
        </is>
      </c>
      <c r="L18" s="6" t="inlineStr">
        <is>
          <t>Th 2025</t>
        </is>
      </c>
      <c r="M18" s="6" t="inlineStr">
        <is>
          <t>Prime 2025</t>
        </is>
      </c>
      <c r="N18" s="6" t="inlineStr">
        <is>
          <t>Th 2024</t>
        </is>
      </c>
      <c r="O18" s="6" t="inlineStr">
        <is>
          <t>Prime 2024</t>
        </is>
      </c>
      <c r="P18" s="6" t="inlineStr">
        <is>
          <t>Th 2023</t>
        </is>
      </c>
      <c r="Q18" s="6" t="inlineStr">
        <is>
          <t>Th 2022</t>
        </is>
      </c>
      <c r="R18" s="6" t="inlineStr">
        <is>
          <t>Th 2021</t>
        </is>
      </c>
      <c r="S18" s="6" t="inlineStr">
        <is>
          <t>Th 2020</t>
        </is>
      </c>
      <c r="T18" s="6" t="inlineStr">
        <is>
          <t>📈 24-25</t>
        </is>
      </c>
      <c r="U18" s="6" t="inlineStr">
        <is>
          <t>📈 23-24</t>
        </is>
      </c>
      <c r="V18" s="6" t="inlineStr">
        <is>
          <t>📈 22-23</t>
        </is>
      </c>
      <c r="W18" s="6" t="inlineStr">
        <is>
          <t>Adresse</t>
        </is>
      </c>
      <c r="X18" s="6" t="inlineStr">
        <is>
          <t>Lieu</t>
        </is>
      </c>
      <c r="Y18" s="6" t="inlineStr">
        <is>
          <t>Contrat</t>
        </is>
      </c>
      <c r="Z18" s="6" t="inlineStr">
        <is>
          <t>Mutuelle</t>
        </is>
      </c>
      <c r="AA18" s="6" t="inlineStr">
        <is>
          <t>Cout mutuelle salarié paie novembre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2025-09-23T09:45:10Z</dcterms:created>
  <cp:revision>0</cp:revision>
</cp:coreProperties>
</file>