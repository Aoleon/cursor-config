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lm chantier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0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</fonts>
  <fills count="1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401694"/>
      </patternFill>
    </fill>
    <fill>
      <patternFill patternType="solid">
        <fgColor rgb="FF9D50DD"/>
      </patternFill>
    </fill>
    <fill>
      <patternFill patternType="solid">
        <fgColor rgb="FF579BFC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A1E3F6"/>
      </patternFill>
    </fill>
    <fill>
      <patternFill patternType="solid">
        <fgColor rgb="FF579BFC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6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0" numFmtId="0" fontId="19" fillId="16" applyNumberFormat="0" applyFill="1" applyFont="1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300000000000004"/>
    <col min="2" max="2" bestFit="1" customWidth="1" width="15.400000000000002"/>
    <col min="3" max="3" bestFit="1" customWidth="1" width="28.049999999999997"/>
    <col min="4" max="4" bestFit="1" customWidth="1" width="26.4"/>
    <col min="5" max="5" bestFit="1" customWidth="1" width="9.899999999999999"/>
    <col min="6" max="6" bestFit="1" customWidth="1" width="14.3"/>
    <col min="7" max="7" bestFit="1" customWidth="1" width="9.899999999999999"/>
    <col min="8" max="8" bestFit="1" customWidth="1" width="9.9"/>
    <col min="9" max="9" bestFit="1" customWidth="1" width="16.5"/>
    <col min="10" max="10" bestFit="1" customWidth="1" width="16.5"/>
    <col min="11" max="11" bestFit="1" customWidth="1" width="19.799999999999997"/>
    <col min="12" max="12" bestFit="1" customWidth="1" width="24.75"/>
    <col min="13" max="13" bestFit="1" customWidth="1" width="23.099999999999998"/>
    <col min="14" max="14" bestFit="1" customWidth="1" width="18.15"/>
    <col min="15" max="15" bestFit="1" customWidth="1" width="28.6"/>
    <col min="16" max="16" bestFit="1" customWidth="1" width="28.6"/>
    <col min="17" max="17" bestFit="1" customWidth="1" width="28.6"/>
    <col min="18" max="18" bestFit="1" customWidth="1" width="45.1"/>
    <col min="19" max="19" bestFit="1" customWidth="1" width="35.2"/>
    <col min="20" max="20" bestFit="1" customWidth="1" width="24.75"/>
  </cols>
  <sheetData>
    <row customHeight="1" ht="40" r="1">
      <c r="A1" s="4" t="inlineStr">
        <is>
          <t>JLM CHANTIERS</t>
        </is>
      </c>
    </row>
    <row customHeight="1" ht="20" r="2">
      <c r="A2" s="15" t="inlineStr">
        <is>
          <t>Projets</t>
        </is>
      </c>
    </row>
    <row customHeight="1" ht="20" r="3">
      <c r="A3" s="7" t="inlineStr">
        <is>
          <t>Nom</t>
        </is>
      </c>
      <c r="B3" s="6" t="inlineStr">
        <is>
          <t>Admin</t>
        </is>
      </c>
      <c r="C3" s="6" t="inlineStr">
        <is>
          <t>Santé du projet (RAG)</t>
        </is>
      </c>
      <c r="D3" s="6" t="inlineStr">
        <is>
          <t>Progression du projet</t>
        </is>
      </c>
      <c r="E3" s="6" t="inlineStr">
        <is>
          <t>Priorité</t>
        </is>
      </c>
      <c r="F3" s="6" t="inlineStr">
        <is>
          <t>Lot</t>
        </is>
      </c>
      <c r="G3" s="6" t="inlineStr">
        <is>
          <t>Étape</t>
        </is>
      </c>
      <c r="H3" s="6" t="inlineStr">
        <is>
          <t>CA</t>
        </is>
      </c>
      <c r="I3" s="6" t="inlineStr">
        <is>
          <t>Nb Heures</t>
        </is>
      </c>
      <c r="J3" s="6" t="inlineStr">
        <is>
          <t>Effectif prévu</t>
        </is>
      </c>
      <c r="K3" s="6" t="inlineStr">
        <is>
          <t>Nb J Equipe</t>
        </is>
      </c>
      <c r="L3" s="6" t="inlineStr">
        <is>
          <t>Nb Heures Réalisées</t>
        </is>
      </c>
      <c r="M3" s="6" t="inlineStr">
        <is>
          <t>Nb Heure restantes</t>
        </is>
      </c>
      <c r="N3" s="6" t="inlineStr">
        <is>
          <t>Nb JEq restant</t>
        </is>
      </c>
      <c r="O3" s="6" t="inlineStr">
        <is>
          <t>Date Démarrage</t>
        </is>
      </c>
      <c r="P3" s="6" t="inlineStr">
        <is>
          <t>Calendrier planifié - Start</t>
        </is>
      </c>
      <c r="Q3" s="6" t="inlineStr">
        <is>
          <t>Calendrier planifié - End</t>
        </is>
      </c>
      <c r="R3" s="6" t="inlineStr">
        <is>
          <t>Échéancier réel</t>
        </is>
      </c>
      <c r="S3" s="6" t="inlineStr">
        <is>
          <t>Résumé du statut du projet</t>
        </is>
      </c>
      <c r="T3" s="6" t="inlineStr">
        <is>
          <t>Description du projet</t>
        </is>
      </c>
    </row>
    <row customHeight="1" ht="20" r="4">
      <c r="A4" s="3" t="inlineStr">
        <is>
          <t>ECQUES BUREAUX JLM</t>
        </is>
      </c>
      <c r="B4" s="14" t="inlineStr">
        <is>
          <t>Julien LAMBOROT</t>
        </is>
      </c>
      <c r="C4" s="16" t="inlineStr">
        <is>
          <t>À risque</t>
        </is>
      </c>
      <c r="D4" s="14" t="inlineStr">
        <is>
          <t>Future steps, Working on it</t>
        </is>
      </c>
      <c r="E4" s="17" t="inlineStr">
        <is>
          <t>Élevée</t>
        </is>
      </c>
      <c r="F4" s="18" t="inlineStr">
        <is>
          <t>Menu Ext</t>
        </is>
      </c>
      <c r="G4" s="19" t="inlineStr">
        <is>
          <t>À venir</t>
        </is>
      </c>
      <c r="H4" s="14" t="n">
        <v>80000</v>
      </c>
      <c r="I4" s="14" t="n">
        <v>80</v>
      </c>
      <c r="J4" s="14" t="n">
        <v>2</v>
      </c>
      <c r="K4" s="14" t="n">
        <v>5</v>
      </c>
      <c r="L4" s="14" t="n">
        <v>11</v>
      </c>
      <c r="M4" s="14" t="n">
        <v>69</v>
      </c>
      <c r="N4" s="14" t="n">
        <v>8</v>
      </c>
      <c r="O4" s="13">
        <v>45768.0</v>
      </c>
      <c r="P4" s="13">
        <v>45778.0</v>
      </c>
      <c r="Q4" s="13">
        <v>45789.0</v>
      </c>
      <c r="R4" s="14" t="inlineStr">
        <is>
          <t>2025-04-28 - 2025-05-12, 2025-06-09 - 2025-06-11</t>
        </is>
      </c>
      <c r="S4" s="14" t="inlineStr">
        <is>
          <t>https://jlm-hdf.monday.com/docs/8757584343</t>
        </is>
      </c>
      <c r="T4" s="14" t="inlineStr">
        <is>
          <t>Constrcution des bureau JLM</t>
        </is>
      </c>
    </row>
    <row customHeight="1" ht="20" r="5">
      <c r="A5" s="3" t="inlineStr">
        <is>
          <t>BETHUNE BUDAPEST</t>
        </is>
      </c>
      <c r="B5" s="14" t="inlineStr">
        <is>
          <t>Nicolas LOVERGNE</t>
        </is>
      </c>
      <c r="C5" s="20" t="inlineStr">
        <is>
          <t>Santé du projet</t>
        </is>
      </c>
      <c r="D5" s="14" t="inlineStr">
        <is>
          <t>Done, Working on it</t>
        </is>
      </c>
      <c r="E5" s="21"/>
      <c r="F5" s="18" t="inlineStr">
        <is>
          <t>Menu Ext</t>
        </is>
      </c>
      <c r="G5" s="19" t="inlineStr">
        <is>
          <t>À venir</t>
        </is>
      </c>
      <c r="H5" s="14" t="n">
        <v>627508</v>
      </c>
      <c r="I5" s="14" t="n">
        <v>2050</v>
      </c>
      <c r="J5" s="14" t="n">
        <v>2</v>
      </c>
      <c r="K5" s="14" t="n">
        <v>128</v>
      </c>
      <c r="L5" s="14" t="inlineStr">
        <is>
          <t/>
        </is>
      </c>
      <c r="M5" s="14" t="n">
        <v>2050</v>
      </c>
      <c r="N5" s="14" t="n">
        <v>129</v>
      </c>
      <c r="O5" s="13">
        <v>45901.0</v>
      </c>
      <c r="P5" s="13">
        <v>45959.0</v>
      </c>
      <c r="Q5" s="13">
        <v>46139.0</v>
      </c>
      <c r="R5" s="14" t="inlineStr">
        <is>
          <t>2025-03-16 - 2025-03-22, 2025-04-01 - 2025-04-15</t>
        </is>
      </c>
      <c r="S5" s="14" t="inlineStr">
        <is>
          <t>https://jlm-hdf.monday.com/docs/8882740002</t>
        </is>
      </c>
      <c r="T5" s="14" t="inlineStr">
        <is>
          <t/>
        </is>
      </c>
    </row>
    <row customHeight="1" ht="20" r="6">
      <c r="A6" s="3" t="inlineStr">
        <is>
          <t>PÉRENCHIES - Charpente Brisis</t>
        </is>
      </c>
      <c r="B6" s="14" t="inlineStr">
        <is>
          <t>Julien LAMBOROT</t>
        </is>
      </c>
      <c r="C6" s="20" t="inlineStr">
        <is>
          <t>Santé du projet</t>
        </is>
      </c>
      <c r="D6" s="14" t="inlineStr">
        <is>
          <t>Done, Working on it</t>
        </is>
      </c>
      <c r="E6" s="21"/>
      <c r="F6" s="22" t="inlineStr">
        <is>
          <t>Charpente/Ossature</t>
        </is>
      </c>
      <c r="G6" s="19" t="inlineStr">
        <is>
          <t>À venir</t>
        </is>
      </c>
      <c r="H6" s="14" t="n">
        <v>7300</v>
      </c>
      <c r="I6" s="14" t="n">
        <v>72</v>
      </c>
      <c r="J6" s="14" t="n">
        <v>2</v>
      </c>
      <c r="K6" s="14" t="n">
        <v>5</v>
      </c>
      <c r="L6" s="14" t="inlineStr">
        <is>
          <t/>
        </is>
      </c>
      <c r="M6" s="14" t="n">
        <v>72</v>
      </c>
      <c r="N6" s="14" t="n">
        <v>4.5</v>
      </c>
      <c r="O6" s="13" t="inlineStr">
        <is>
          <t/>
        </is>
      </c>
      <c r="P6" s="13">
        <v>45768.0</v>
      </c>
      <c r="Q6" s="13">
        <v>45772.0</v>
      </c>
      <c r="R6" s="14" t="inlineStr">
        <is>
          <t>2025-03-16 - 2025-03-22, 2025-04-01 - 2025-04-15</t>
        </is>
      </c>
      <c r="S6" s="14" t="inlineStr">
        <is>
          <t/>
        </is>
      </c>
      <c r="T6" s="14" t="inlineStr">
        <is>
          <t/>
        </is>
      </c>
    </row>
    <row customHeight="1" ht="20" r="7">
      <c r="A7" s="3" t="inlineStr">
        <is>
          <t>PERENCHIES 10+14 - Portes de Hall</t>
        </is>
      </c>
      <c r="B7" s="14" t="inlineStr">
        <is>
          <t>France CASTELAIN</t>
        </is>
      </c>
      <c r="C7" s="20" t="inlineStr">
        <is>
          <t>Santé du projet</t>
        </is>
      </c>
      <c r="D7" s="14" t="inlineStr">
        <is>
          <t>Done, Working on it</t>
        </is>
      </c>
      <c r="E7" s="21"/>
      <c r="F7" s="18" t="inlineStr">
        <is>
          <t>Menu Ext</t>
        </is>
      </c>
      <c r="G7" s="19" t="inlineStr">
        <is>
          <t>À venir</t>
        </is>
      </c>
      <c r="H7" s="14" t="n">
        <v>11800</v>
      </c>
      <c r="I7" s="14" t="n">
        <v>20</v>
      </c>
      <c r="J7" s="14" t="n">
        <v>2</v>
      </c>
      <c r="K7" s="14" t="n">
        <v>1.25</v>
      </c>
      <c r="L7" s="14" t="inlineStr">
        <is>
          <t/>
        </is>
      </c>
      <c r="M7" s="14" t="n">
        <v>20</v>
      </c>
      <c r="N7" s="14" t="n">
        <v>1</v>
      </c>
      <c r="O7" s="13" t="inlineStr">
        <is>
          <t/>
        </is>
      </c>
      <c r="P7" s="13">
        <v>45851.0</v>
      </c>
      <c r="Q7" s="13">
        <v>45852.0</v>
      </c>
      <c r="R7" s="14" t="inlineStr">
        <is>
          <t>2025-03-16 - 2025-03-22, 2025-04-01 - 2025-04-15</t>
        </is>
      </c>
      <c r="S7" s="14" t="inlineStr">
        <is>
          <t/>
        </is>
      </c>
      <c r="T7" s="14" t="inlineStr">
        <is>
          <t/>
        </is>
      </c>
    </row>
    <row customHeight="1" ht="20" r="8">
      <c r="A8" s="3" t="inlineStr">
        <is>
          <t>BOULOGNE 102 - GCC - 102 lgts - Serrurerie</t>
        </is>
      </c>
      <c r="B8" s="14" t="inlineStr">
        <is>
          <t>Nicolas LOVERGNE</t>
        </is>
      </c>
      <c r="C8" s="20" t="inlineStr">
        <is>
          <t>Santé du projet</t>
        </is>
      </c>
      <c r="D8" s="14" t="inlineStr">
        <is>
          <t>Done, Working on it</t>
        </is>
      </c>
      <c r="E8" s="21"/>
      <c r="F8" s="18" t="inlineStr">
        <is>
          <t>Menu Ext</t>
        </is>
      </c>
      <c r="G8" s="19" t="inlineStr">
        <is>
          <t>À venir</t>
        </is>
      </c>
      <c r="H8" s="14" t="n">
        <v>235355</v>
      </c>
      <c r="I8" s="14" t="n">
        <v>702</v>
      </c>
      <c r="J8" s="14" t="n">
        <v>2</v>
      </c>
      <c r="K8" s="14" t="n">
        <v>44</v>
      </c>
      <c r="L8" s="14" t="inlineStr">
        <is>
          <t/>
        </is>
      </c>
      <c r="M8" s="14" t="n">
        <v>702</v>
      </c>
      <c r="N8" s="14" t="n">
        <v>43.88</v>
      </c>
      <c r="O8" s="13">
        <v>45776.0</v>
      </c>
      <c r="P8" s="13">
        <v>45817.0</v>
      </c>
      <c r="Q8" s="13">
        <v>45876.0</v>
      </c>
      <c r="R8" s="14" t="inlineStr">
        <is>
          <t>2025-03-16 - 2025-03-22, 2025-04-01 - 2025-04-15</t>
        </is>
      </c>
      <c r="S8" s="14" t="inlineStr">
        <is>
          <t/>
        </is>
      </c>
      <c r="T8" s="14" t="inlineStr">
        <is>
          <t/>
        </is>
      </c>
    </row>
    <row customHeight="1" ht="20" r="9">
      <c r="A9" s="3" t="inlineStr">
        <is>
          <t>BOULOGNE 102 - GCC - 102 lgts - Mint</t>
        </is>
      </c>
      <c r="B9" s="14" t="inlineStr">
        <is>
          <t>Nicolas LOVERGNE</t>
        </is>
      </c>
      <c r="C9" s="20" t="inlineStr">
        <is>
          <t>Santé du projet</t>
        </is>
      </c>
      <c r="D9" s="14" t="inlineStr">
        <is>
          <t>Done, Working on it</t>
        </is>
      </c>
      <c r="E9" s="21"/>
      <c r="F9" s="23" t="inlineStr">
        <is>
          <t>Menu Int</t>
        </is>
      </c>
      <c r="G9" s="19" t="inlineStr">
        <is>
          <t>À venir</t>
        </is>
      </c>
      <c r="H9" s="14" t="n">
        <v>163762</v>
      </c>
      <c r="I9" s="14" t="n">
        <v>1205</v>
      </c>
      <c r="J9" s="14" t="n">
        <v>2</v>
      </c>
      <c r="K9" s="14" t="n">
        <v>75</v>
      </c>
      <c r="L9" s="14" t="inlineStr">
        <is>
          <t/>
        </is>
      </c>
      <c r="M9" s="14" t="n">
        <v>1205</v>
      </c>
      <c r="N9" s="14" t="n">
        <v>75</v>
      </c>
      <c r="O9" s="13" t="inlineStr">
        <is>
          <t/>
        </is>
      </c>
      <c r="P9" s="13">
        <v>45971.0</v>
      </c>
      <c r="Q9" s="13">
        <v>46073.0</v>
      </c>
      <c r="R9" s="14" t="inlineStr">
        <is>
          <t>2025-03-16 - 2025-03-22, 2025-04-01 - 2025-04-15</t>
        </is>
      </c>
      <c r="S9" s="14" t="inlineStr">
        <is>
          <t/>
        </is>
      </c>
      <c r="T9" s="14" t="inlineStr">
        <is>
          <t/>
        </is>
      </c>
    </row>
    <row customHeight="1" ht="20" r="10">
      <c r="A10" s="3" t="inlineStr">
        <is>
          <t>TEST PROJET Joli</t>
        </is>
      </c>
      <c r="B10" s="14" t="inlineStr">
        <is>
          <t>Julien DUCROCQ</t>
        </is>
      </c>
      <c r="C10" s="20" t="inlineStr">
        <is>
          <t>Santé du projet</t>
        </is>
      </c>
      <c r="D10" s="14"/>
      <c r="E10" s="21"/>
      <c r="F10" s="24" t="inlineStr">
        <is>
          <t/>
        </is>
      </c>
      <c r="G10" s="19" t="inlineStr">
        <is>
          <t>À venir</t>
        </is>
      </c>
      <c r="H10" s="14" t="n">
        <v>100000</v>
      </c>
      <c r="I10" s="14" t="n">
        <v>500</v>
      </c>
      <c r="J10" s="14" t="n">
        <v>2</v>
      </c>
      <c r="K10" s="14" t="n">
        <v>31.25</v>
      </c>
      <c r="L10" s="14" t="inlineStr">
        <is>
          <t/>
        </is>
      </c>
      <c r="M10" s="14" t="n">
        <v>500</v>
      </c>
      <c r="N10" s="14" t="n">
        <v>31.25</v>
      </c>
      <c r="O10" s="13" t="inlineStr">
        <is>
          <t/>
        </is>
      </c>
      <c r="P10" s="13">
        <v>45839.0</v>
      </c>
      <c r="Q10" s="13">
        <v>45882.0</v>
      </c>
      <c r="R10" s="14"/>
      <c r="S10" s="14" t="inlineStr">
        <is>
          <t/>
        </is>
      </c>
      <c r="T10" s="14" t="inlineStr">
        <is>
          <t/>
        </is>
      </c>
    </row>
    <row customHeight="1" ht="20" r="1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25" t="str">
        <f>SUM(H4:H10)</f>
      </c>
      <c r="I11" s="25" t="str">
        <f>SUM(I4:I10)</f>
      </c>
      <c r="J11" s="25" t="str">
        <f>SUM(J4:J10)</f>
      </c>
      <c r="K11" s="25" t="str">
        <f>SUM(K4:K10)</f>
      </c>
      <c r="L11" s="25" t="str">
        <f>SUM(L4:L10)</f>
      </c>
      <c r="M11" s="0" t="inlineStr">
        <is>
          <t/>
        </is>
      </c>
      <c r="N11" s="25" t="str">
        <f>SUM(N4:N10)</f>
      </c>
      <c r="O11" s="0" t="inlineStr">
        <is>
          <t/>
        </is>
      </c>
      <c r="P11" s="11" t="inlineStr">
        <is>
          <t/>
        </is>
      </c>
      <c r="Q11" s="11" t="inlineStr">
        <is>
          <t/>
        </is>
      </c>
      <c r="R11" s="0" t="inlineStr">
        <is>
          <t/>
        </is>
      </c>
      <c r="S11" s="0" t="inlineStr">
        <is>
          <t/>
        </is>
      </c>
      <c r="T11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2025-09-23T09:43:18Z</dcterms:created>
  <cp:revision>0</cp:revision>
</cp:coreProperties>
</file>