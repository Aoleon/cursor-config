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👷‍♂️ personnel chanti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55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A25DDC"/>
    </font>
  </fonts>
  <fills count="50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9D50DD"/>
      </patternFill>
    </fill>
    <fill>
      <patternFill patternType="solid">
        <fgColor rgb="FF037F4C"/>
      </patternFill>
    </fill>
    <fill>
      <patternFill patternType="solid">
        <fgColor rgb="FF784BD1"/>
      </patternFill>
    </fill>
    <fill>
      <patternFill patternType="solid">
        <fgColor rgb="FF5559DF"/>
      </patternFill>
    </fill>
    <fill>
      <patternFill patternType="solid">
        <fgColor rgb="FF5559DF"/>
      </patternFill>
    </fill>
    <fill>
      <patternFill patternType="solid">
        <fgColor rgb="FFFDAB3D"/>
      </patternFill>
    </fill>
    <fill>
      <patternFill patternType="solid">
        <fgColor rgb="FFCAB641"/>
      </patternFill>
    </fill>
    <fill>
      <patternFill patternType="solid">
        <fgColor rgb="FFFFCB00"/>
      </patternFill>
    </fill>
    <fill>
      <patternFill patternType="solid">
        <fgColor rgb="FF9AADBD"/>
      </patternFill>
    </fill>
    <fill>
      <patternFill patternType="solid">
        <fgColor rgb="FFCAB641"/>
      </patternFill>
    </fill>
    <fill>
      <patternFill patternType="solid">
        <fgColor rgb="FFCAB641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9CD326"/>
      </patternFill>
    </fill>
    <fill>
      <patternFill patternType="solid">
        <fgColor rgb="FF037F4C"/>
      </patternFill>
    </fill>
    <fill>
      <patternFill patternType="solid">
        <fgColor rgb="FFFF5AC4"/>
      </patternFill>
    </fill>
    <fill>
      <patternFill patternType="solid">
        <fgColor rgb="FFFF5AC4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9D50DD"/>
      </patternFill>
    </fill>
    <fill>
      <patternFill patternType="solid">
        <fgColor rgb="FF9D99B9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9D50DD"/>
      </patternFill>
    </fill>
    <fill>
      <patternFill patternType="solid">
        <fgColor rgb="FFFF6D3B"/>
      </patternFill>
    </fill>
    <fill>
      <patternFill patternType="solid">
        <fgColor rgb="FFFF007F"/>
      </patternFill>
    </fill>
    <fill>
      <patternFill patternType="solid">
        <fgColor rgb="FFFF007F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007EB5"/>
      </patternFill>
    </fill>
    <fill>
      <patternFill patternType="solid">
        <fgColor rgb="FFFF6D3B"/>
      </patternFill>
    </fill>
    <fill>
      <patternFill patternType="solid">
        <fgColor rgb="FFFF6D3B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FDAB3D"/>
      </patternFill>
    </fill>
    <fill>
      <patternFill patternType="solid">
        <fgColor rgb="FFEFEFEF"/>
      </patternFill>
    </fill>
    <fill>
      <patternFill patternType="solid">
        <fgColor rgb="FFA1E3F6"/>
      </patternFill>
    </fill>
    <fill>
      <patternFill patternType="solid">
        <fgColor rgb="FFC4C4C4"/>
      </patternFill>
    </fill>
    <fill>
      <patternFill patternType="solid">
        <fgColor rgb="FF225091"/>
      </patternFill>
    </fill>
    <fill>
      <patternFill patternType="solid">
        <fgColor rgb="FF037F4C"/>
      </patternFill>
    </fill>
    <fill>
      <patternFill patternType="solid">
        <fgColor rgb="FF579BFC"/>
      </patternFill>
    </fill>
    <fill>
      <patternFill patternType="solid">
        <fgColor rgb="FFFFCB00"/>
      </patternFill>
    </fill>
  </fills>
  <borders count="4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9AADBD"/>
      </left>
      <right style="thick">
        <color rgb="FF9AADBD"/>
      </right>
      <top style="thick">
        <color rgb="FF9AADBD"/>
      </top>
      <bottom style="thick">
        <color rgb="FF9AADBD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9D99B9"/>
      </left>
      <right style="thick">
        <color rgb="FF9D99B9"/>
      </right>
      <top style="thick">
        <color rgb="FF9D99B9"/>
      </top>
      <bottom style="thick">
        <color rgb="FF9D99B9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225091"/>
      </left>
      <right style="thick">
        <color rgb="FF225091"/>
      </right>
      <top style="thick">
        <color rgb="FF225091"/>
      </top>
      <bottom style="thick">
        <color rgb="FF225091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</borders>
  <cellStyleXfs count="1">
    <xf borderId="0" numFmtId="0" fontId="0" fillId="0"/>
  </cellStyleXfs>
  <cellXfs count="61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9" numFmtId="0" fontId="17" fillId="14" applyNumberFormat="0" applyFill="1" applyFont="1" applyBorder="1" applyAlignment="1" applyProtection="0">
      <alignment horizontal="center" vertical="center"/>
    </xf>
    <xf borderId="10" numFmtId="0" fontId="18" fillId="15" applyNumberFormat="0" applyFill="1" applyFont="1" applyBorder="1" applyAlignment="1" applyProtection="0">
      <alignment horizontal="center" vertical="center"/>
    </xf>
    <xf borderId="11" numFmtId="0" fontId="19" fillId="16" applyNumberFormat="0" applyFill="1" applyFont="1" applyBorder="1" applyAlignment="1" applyProtection="0">
      <alignment horizontal="center" vertical="center"/>
    </xf>
    <xf borderId="12" numFmtId="0" fontId="20" fillId="17" applyNumberFormat="0" applyFill="1" applyFont="1" applyBorder="1" applyAlignment="1" applyProtection="0">
      <alignment horizontal="center" vertical="center"/>
    </xf>
    <xf borderId="13" numFmtId="0" fontId="21" fillId="18" applyNumberFormat="0" applyFill="1" applyFont="1" applyBorder="1" applyAlignment="1" applyProtection="0">
      <alignment horizontal="center" vertical="center"/>
    </xf>
    <xf borderId="14" numFmtId="0" fontId="22" fillId="19" applyNumberFormat="0" applyFill="1" applyFont="1" applyBorder="1" applyAlignment="1" applyProtection="0">
      <alignment horizontal="center" vertical="center"/>
    </xf>
    <xf borderId="15" numFmtId="0" fontId="23" fillId="20" applyNumberFormat="0" applyFill="1" applyFont="1" applyBorder="1" applyAlignment="1" applyProtection="0">
      <alignment horizontal="center" vertical="center"/>
    </xf>
    <xf borderId="16" numFmtId="0" fontId="24" fillId="21" applyNumberFormat="0" applyFill="1" applyFont="1" applyBorder="1" applyAlignment="1" applyProtection="0">
      <alignment horizontal="center" vertical="center"/>
    </xf>
    <xf borderId="17" numFmtId="0" fontId="25" fillId="22" applyNumberFormat="0" applyFill="1" applyFont="1" applyBorder="1" applyAlignment="1" applyProtection="0">
      <alignment horizontal="center" vertical="center"/>
    </xf>
    <xf borderId="18" numFmtId="0" fontId="26" fillId="23" applyNumberFormat="0" applyFill="1" applyFont="1" applyBorder="1" applyAlignment="1" applyProtection="0">
      <alignment horizontal="center" vertical="center"/>
    </xf>
    <xf borderId="19" numFmtId="0" fontId="27" fillId="24" applyNumberFormat="0" applyFill="1" applyFont="1" applyBorder="1" applyAlignment="1" applyProtection="0">
      <alignment horizontal="center" vertical="center"/>
    </xf>
    <xf borderId="20" numFmtId="0" fontId="28" fillId="25" applyNumberFormat="0" applyFill="1" applyFont="1" applyBorder="1" applyAlignment="1" applyProtection="0">
      <alignment horizontal="center" vertical="center"/>
    </xf>
    <xf borderId="21" numFmtId="0" fontId="29" fillId="26" applyNumberFormat="0" applyFill="1" applyFont="1" applyBorder="1" applyAlignment="1" applyProtection="0">
      <alignment horizontal="center" vertical="center"/>
    </xf>
    <xf borderId="22" numFmtId="0" fontId="30" fillId="27" applyNumberFormat="0" applyFill="1" applyFont="1" applyBorder="1" applyAlignment="1" applyProtection="0">
      <alignment horizontal="center" vertical="center"/>
    </xf>
    <xf borderId="23" numFmtId="0" fontId="31" fillId="28" applyNumberFormat="0" applyFill="1" applyFont="1" applyBorder="1" applyAlignment="1" applyProtection="0">
      <alignment horizontal="center" vertical="center"/>
    </xf>
    <xf borderId="24" numFmtId="0" fontId="32" fillId="29" applyNumberFormat="0" applyFill="1" applyFont="1" applyBorder="1" applyAlignment="1" applyProtection="0">
      <alignment horizontal="center" vertical="center"/>
    </xf>
    <xf borderId="25" numFmtId="0" fontId="33" fillId="30" applyNumberFormat="0" applyFill="1" applyFont="1" applyBorder="1" applyAlignment="1" applyProtection="0">
      <alignment horizontal="center" vertical="center"/>
    </xf>
    <xf borderId="26" numFmtId="0" fontId="34" fillId="31" applyNumberFormat="0" applyFill="1" applyFont="1" applyBorder="1" applyAlignment="1" applyProtection="0">
      <alignment horizontal="center" vertical="center"/>
    </xf>
    <xf borderId="27" numFmtId="0" fontId="35" fillId="32" applyNumberFormat="0" applyFill="1" applyFont="1" applyBorder="1" applyAlignment="1" applyProtection="0">
      <alignment horizontal="center" vertical="center"/>
    </xf>
    <xf borderId="28" numFmtId="0" fontId="36" fillId="33" applyNumberFormat="0" applyFill="1" applyFont="1" applyBorder="1" applyAlignment="1" applyProtection="0">
      <alignment horizontal="center" vertical="center"/>
    </xf>
    <xf borderId="29" numFmtId="0" fontId="37" fillId="34" applyNumberFormat="0" applyFill="1" applyFont="1" applyBorder="1" applyAlignment="1" applyProtection="0">
      <alignment horizontal="center" vertical="center"/>
    </xf>
    <xf borderId="30" numFmtId="0" fontId="38" fillId="35" applyNumberFormat="0" applyFill="1" applyFont="1" applyBorder="1" applyAlignment="1" applyProtection="0">
      <alignment horizontal="center" vertical="center"/>
    </xf>
    <xf borderId="31" numFmtId="0" fontId="39" fillId="36" applyNumberFormat="0" applyFill="1" applyFont="1" applyBorder="1" applyAlignment="1" applyProtection="0">
      <alignment horizontal="center" vertical="center"/>
    </xf>
    <xf borderId="32" numFmtId="0" fontId="40" fillId="37" applyNumberFormat="0" applyFill="1" applyFont="1" applyBorder="1" applyAlignment="1" applyProtection="0">
      <alignment horizontal="center" vertical="center"/>
    </xf>
    <xf borderId="33" numFmtId="0" fontId="41" fillId="38" applyNumberFormat="0" applyFill="1" applyFont="1" applyBorder="1" applyAlignment="1" applyProtection="0">
      <alignment horizontal="center" vertical="center"/>
    </xf>
    <xf borderId="34" numFmtId="0" fontId="42" fillId="39" applyNumberFormat="0" applyFill="1" applyFont="1" applyBorder="1" applyAlignment="1" applyProtection="0">
      <alignment horizontal="center" vertical="center"/>
    </xf>
    <xf borderId="35" numFmtId="0" fontId="43" fillId="40" applyNumberFormat="0" applyFill="1" applyFont="1" applyBorder="1" applyAlignment="1" applyProtection="0">
      <alignment horizontal="center" vertical="center"/>
    </xf>
    <xf borderId="36" numFmtId="0" fontId="44" fillId="41" applyNumberFormat="0" applyFill="1" applyFont="1" applyBorder="1" applyAlignment="1" applyProtection="0">
      <alignment horizontal="center" vertical="center"/>
    </xf>
    <xf borderId="37" numFmtId="0" fontId="45" fillId="42" applyNumberFormat="0" applyFill="1" applyFont="1" applyBorder="1" applyAlignment="1" applyProtection="0">
      <alignment horizontal="center" vertical="center"/>
    </xf>
    <xf borderId="0" numFmtId="0" fontId="46" fillId="43" applyNumberFormat="0" applyFill="1" applyFont="1" applyBorder="0" applyAlignment="1" applyProtection="0">
      <alignment horizontal="center" vertical="center"/>
    </xf>
    <xf borderId="0" numFmtId="0" fontId="47" fillId="0" applyNumberFormat="0" applyFill="0" applyFont="1" applyBorder="0" applyAlignment="1" applyProtection="0">
      <alignment vertical="center"/>
    </xf>
    <xf borderId="38" numFmtId="0" fontId="48" fillId="44" applyNumberFormat="0" applyFill="1" applyFont="1" applyBorder="1" applyAlignment="1" applyProtection="0">
      <alignment horizontal="center" vertical="center"/>
    </xf>
    <xf borderId="39" numFmtId="0" fontId="49" fillId="45" applyNumberFormat="0" applyFill="1" applyFont="1" applyBorder="1" applyAlignment="1" applyProtection="0">
      <alignment horizontal="center" vertical="center"/>
    </xf>
    <xf borderId="40" numFmtId="0" fontId="50" fillId="46" applyNumberFormat="0" applyFill="1" applyFont="1" applyBorder="1" applyAlignment="1" applyProtection="0">
      <alignment horizontal="center" vertical="center"/>
    </xf>
    <xf borderId="41" numFmtId="0" fontId="51" fillId="47" applyNumberFormat="0" applyFill="1" applyFont="1" applyBorder="1" applyAlignment="1" applyProtection="0">
      <alignment horizontal="center" vertical="center"/>
    </xf>
    <xf borderId="42" numFmtId="0" fontId="52" fillId="48" applyNumberFormat="0" applyFill="1" applyFont="1" applyBorder="1" applyAlignment="1" applyProtection="0">
      <alignment horizontal="center" vertical="center"/>
    </xf>
    <xf borderId="43" numFmtId="0" fontId="53" fillId="49" applyNumberFormat="0" applyFill="1" applyFont="1" applyBorder="1" applyAlignment="1" applyProtection="0">
      <alignment horizontal="center" vertical="center"/>
    </xf>
    <xf borderId="0" numFmtId="0" fontId="54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4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4.6"/>
    <col min="2" max="2" bestFit="1" customWidth="1" width="18.15"/>
    <col min="3" max="3" bestFit="1" customWidth="1" width="16.5"/>
    <col min="4" max="4" bestFit="1" customWidth="1" width="31.349999999999998"/>
    <col min="5" max="5" bestFit="1" customWidth="1" width="27.500000000000004"/>
    <col min="6" max="6" bestFit="1" customWidth="1" width="36.3"/>
    <col min="7" max="7" bestFit="1" customWidth="1" width="36.3"/>
    <col min="8" max="8" bestFit="1" customWidth="1" width="36.3"/>
    <col min="9" max="9" bestFit="1" customWidth="1" width="9.899999999999999"/>
    <col min="10" max="10" bestFit="1" customWidth="1" width="18.15"/>
    <col min="11" max="11" bestFit="1" customWidth="1" width="14.3"/>
    <col min="12" max="12" bestFit="1" customWidth="1" width="9.899999999999999"/>
    <col min="13" max="13" bestFit="1" customWidth="1" width="16.5"/>
    <col min="14" max="14" bestFit="1" customWidth="1" width="16.5"/>
    <col min="15" max="15" bestFit="1" customWidth="1" width="16.5"/>
    <col min="16" max="16" bestFit="1" customWidth="1" width="14.85"/>
    <col min="17" max="17" bestFit="1" customWidth="1" width="14.85"/>
    <col min="18" max="18" bestFit="1" customWidth="1" width="14.85"/>
    <col min="19" max="19" bestFit="1" customWidth="1" width="33.0"/>
    <col min="20" max="20" bestFit="1" customWidth="1" width="52.800000000000004"/>
    <col min="21" max="21" bestFit="1" customWidth="1" width="13.2"/>
    <col min="22" max="22" bestFit="1" customWidth="1" width="49.50000000000001"/>
    <col min="23" max="23" bestFit="1" customWidth="1" width="29.700000000000003"/>
    <col min="24" max="24" bestFit="1" customWidth="1" width="41.25"/>
  </cols>
  <sheetData>
    <row customHeight="1" ht="40" r="1">
      <c r="A1" s="4" t="inlineStr">
        <is>
          <t>👷‍♂️ Personnel chantier</t>
        </is>
      </c>
    </row>
    <row customHeight="1" ht="20" r="2">
      <c r="A2" s="15" t="inlineStr">
        <is>
          <t>21-10-01 Liste du personnel et TH</t>
        </is>
      </c>
    </row>
    <row customHeight="1" ht="20" r="3">
      <c r="A3" s="7" t="inlineStr">
        <is>
          <t>Name</t>
        </is>
      </c>
      <c r="B3" s="6" t="inlineStr">
        <is>
          <t>Sous-éléments</t>
        </is>
      </c>
      <c r="C3" s="6" t="inlineStr">
        <is>
          <t>Emploi</t>
        </is>
      </c>
      <c r="D3" s="6" t="inlineStr">
        <is>
          <t>Ancienneté</t>
        </is>
      </c>
      <c r="E3" s="6" t="inlineStr">
        <is>
          <t>Niveau d'études</t>
        </is>
      </c>
      <c r="F3" s="6" t="inlineStr">
        <is>
          <t>Date Entrée</t>
        </is>
      </c>
      <c r="G3" s="6" t="inlineStr">
        <is>
          <t>Date Sortie</t>
        </is>
      </c>
      <c r="H3" s="6" t="inlineStr">
        <is>
          <t>Date Naissance</t>
        </is>
      </c>
      <c r="I3" s="6" t="inlineStr">
        <is>
          <t>AGE</t>
        </is>
      </c>
      <c r="J3" s="6" t="inlineStr">
        <is>
          <t>Tranche âge</t>
        </is>
      </c>
      <c r="K3" s="6" t="inlineStr">
        <is>
          <t>Qualif</t>
        </is>
      </c>
      <c r="L3" s="6" t="inlineStr">
        <is>
          <t>Coef</t>
        </is>
      </c>
      <c r="M3" s="6" t="inlineStr">
        <is>
          <t>Th 2025</t>
        </is>
      </c>
      <c r="N3" s="6" t="inlineStr">
        <is>
          <t>Th 2024</t>
        </is>
      </c>
      <c r="O3" s="6" t="inlineStr">
        <is>
          <t>Th 2023</t>
        </is>
      </c>
      <c r="P3" s="6" t="inlineStr">
        <is>
          <t>Th2022</t>
        </is>
      </c>
      <c r="Q3" s="6" t="inlineStr">
        <is>
          <t>Th2021</t>
        </is>
      </c>
      <c r="R3" s="6" t="inlineStr">
        <is>
          <t>Th2020</t>
        </is>
      </c>
      <c r="S3" s="6" t="inlineStr">
        <is>
          <t>Augmentation</t>
        </is>
      </c>
      <c r="T3" s="6" t="inlineStr">
        <is>
          <t>Lieu</t>
        </is>
      </c>
      <c r="U3" s="6" t="inlineStr">
        <is>
          <t>Mutuelle</t>
        </is>
      </c>
      <c r="V3" s="6" t="inlineStr">
        <is>
          <t>Adresse</t>
        </is>
      </c>
      <c r="W3" s="6" t="inlineStr">
        <is>
          <t>Contrat</t>
        </is>
      </c>
      <c r="X3" s="6" t="inlineStr">
        <is>
          <t>Cout mutuelle salarié paie novembre</t>
        </is>
      </c>
    </row>
    <row customHeight="1" ht="20" r="4">
      <c r="A4" s="3" t="inlineStr">
        <is>
          <t>COFFIN  Nicolas</t>
        </is>
      </c>
      <c r="B4" s="14" t="inlineStr">
        <is>
          <t/>
        </is>
      </c>
      <c r="C4" s="16" t="inlineStr">
        <is>
          <t>Chef d'équipe</t>
        </is>
      </c>
      <c r="D4" s="14" t="n">
        <v>19</v>
      </c>
      <c r="E4" s="17" t="inlineStr">
        <is>
          <t>CAP CHARPENTIER</t>
        </is>
      </c>
      <c r="F4" s="13">
        <v>38952.0</v>
      </c>
      <c r="G4" s="13" t="inlineStr">
        <is>
          <t/>
        </is>
      </c>
      <c r="H4" s="13">
        <v>29451.0</v>
      </c>
      <c r="I4" s="14" t="n">
        <v>45</v>
      </c>
      <c r="J4" s="18" t="inlineStr">
        <is>
          <t>40-45</t>
        </is>
      </c>
      <c r="K4" s="19" t="inlineStr">
        <is>
          <t>N3 P2 C230</t>
        </is>
      </c>
      <c r="L4" s="20" t="n">
        <v>230</v>
      </c>
      <c r="M4" s="14" t="n">
        <v>14.769</v>
      </c>
      <c r="N4" s="14" t="n">
        <v>14.479</v>
      </c>
      <c r="O4" s="14" t="n">
        <v>14.307</v>
      </c>
      <c r="P4" s="14" t="n">
        <v>13.564</v>
      </c>
      <c r="Q4" s="14" t="n">
        <v>13.233</v>
      </c>
      <c r="R4" s="14" t="n">
        <v>13.233</v>
      </c>
      <c r="S4" s="14" t="n">
        <v>1.202208709</v>
      </c>
      <c r="T4" s="14" t="inlineStr">
        <is>
          <t>20 Rue Principale, 62380 Acquin-Westbécourt, France</t>
        </is>
      </c>
      <c r="U4" s="14" t="inlineStr">
        <is>
          <t>Seul</t>
        </is>
      </c>
      <c r="V4" s="14" t="inlineStr">
        <is>
          <t>20 r Principale - 62380 ACQUIN</t>
        </is>
      </c>
      <c r="W4" s="21" t="inlineStr">
        <is>
          <t>39H (35h+17H33)</t>
        </is>
      </c>
      <c r="X4" s="14" t="n">
        <v>37.56</v>
      </c>
    </row>
    <row customHeight="1" ht="20" r="5">
      <c r="A5" s="3" t="inlineStr">
        <is>
          <t>DUMETZ Mathis</t>
        </is>
      </c>
      <c r="B5" s="14" t="inlineStr">
        <is>
          <t/>
        </is>
      </c>
      <c r="C5" s="22" t="inlineStr">
        <is>
          <t>Apprenti menuisier</t>
        </is>
      </c>
      <c r="D5" s="14" t="n">
        <v>4</v>
      </c>
      <c r="E5" s="23" t="inlineStr">
        <is>
          <t>BEP MENUISIER</t>
        </is>
      </c>
      <c r="F5" s="13">
        <v>44480.0</v>
      </c>
      <c r="G5" s="13">
        <v>45898.0</v>
      </c>
      <c r="H5" s="13">
        <v>39000.0</v>
      </c>
      <c r="I5" s="14" t="n">
        <v>19</v>
      </c>
      <c r="J5" s="24" t="inlineStr">
        <is>
          <t>16-20</t>
        </is>
      </c>
      <c r="K5" s="25" t="inlineStr">
        <is>
          <t>Apprenti</t>
        </is>
      </c>
      <c r="L5" s="26" t="n">
        <v>150</v>
      </c>
      <c r="M5" s="14" t="inlineStr">
        <is>
          <t/>
        </is>
      </c>
      <c r="N5" s="14" t="n">
        <v>6.51</v>
      </c>
      <c r="O5" s="14" t="n">
        <v>0</v>
      </c>
      <c r="P5" s="14" t="inlineStr">
        <is>
          <t/>
        </is>
      </c>
      <c r="Q5" s="14" t="inlineStr">
        <is>
          <t/>
        </is>
      </c>
      <c r="R5" s="14" t="inlineStr">
        <is>
          <t/>
        </is>
      </c>
      <c r="S5" s="14"/>
      <c r="T5" s="14" t="inlineStr">
        <is>
          <t>715 Rue de Fruges, Bomy, France</t>
        </is>
      </c>
      <c r="U5" s="14" t="inlineStr">
        <is>
          <t>Parent</t>
        </is>
      </c>
      <c r="V5" s="14" t="inlineStr">
        <is>
          <t>715 rue de fruges Hameau de groeuppe 62960 BOMY</t>
        </is>
      </c>
      <c r="W5" s="27" t="inlineStr">
        <is>
          <t>39H (35h+17H33) sauf au CFA 35H</t>
        </is>
      </c>
      <c r="X5" s="14" t="n">
        <v>0</v>
      </c>
    </row>
    <row customHeight="1" ht="20" r="6">
      <c r="A6" s="3" t="inlineStr">
        <is>
          <t>LEFEBVRE José</t>
        </is>
      </c>
      <c r="B6" s="14" t="inlineStr">
        <is>
          <t/>
        </is>
      </c>
      <c r="C6" s="28" t="inlineStr">
        <is>
          <t>Menuisier charpentier</t>
        </is>
      </c>
      <c r="D6" s="14" t="n">
        <v>28</v>
      </c>
      <c r="E6" s="29" t="inlineStr">
        <is>
          <t>CAP MENUISIER FABRICANT</t>
        </is>
      </c>
      <c r="F6" s="13">
        <v>35775.0</v>
      </c>
      <c r="G6" s="13" t="inlineStr">
        <is>
          <t/>
        </is>
      </c>
      <c r="H6" s="13">
        <v>23440.0</v>
      </c>
      <c r="I6" s="14" t="n">
        <v>61</v>
      </c>
      <c r="J6" s="30" t="n">
        <v>55</v>
      </c>
      <c r="K6" s="31" t="inlineStr">
        <is>
          <t>N4 P1 C250</t>
        </is>
      </c>
      <c r="L6" s="32" t="n">
        <v>250</v>
      </c>
      <c r="M6" s="14" t="n">
        <v>16.068</v>
      </c>
      <c r="N6" s="14" t="n">
        <v>15.791</v>
      </c>
      <c r="O6" s="14" t="n">
        <v>15.461</v>
      </c>
      <c r="P6" s="14" t="n">
        <v>14.682</v>
      </c>
      <c r="Q6" s="14" t="n">
        <v>14.324</v>
      </c>
      <c r="R6" s="14" t="n">
        <v>14.318</v>
      </c>
      <c r="S6" s="14" t="n">
        <v>2.1344026906</v>
      </c>
      <c r="T6" s="14" t="inlineStr">
        <is>
          <t>4 Enclos des Peupliers, 62560 Audincthun, France</t>
        </is>
      </c>
      <c r="U6" s="14" t="inlineStr">
        <is>
          <t>Seul</t>
        </is>
      </c>
      <c r="V6" s="14" t="inlineStr">
        <is>
          <t>4 enclos des Peupliers - 62560 AUDINCTHUN</t>
        </is>
      </c>
      <c r="W6" s="21" t="inlineStr">
        <is>
          <t>39H (35h+17H33)</t>
        </is>
      </c>
      <c r="X6" s="14" t="n">
        <v>39.21</v>
      </c>
    </row>
    <row customHeight="1" ht="20" r="7">
      <c r="A7" s="3" t="inlineStr">
        <is>
          <t>LEMAIRE Maxime</t>
        </is>
      </c>
      <c r="B7" s="14" t="inlineStr">
        <is>
          <t/>
        </is>
      </c>
      <c r="C7" s="22" t="inlineStr">
        <is>
          <t>Apprenti menuisier</t>
        </is>
      </c>
      <c r="D7" s="14" t="n">
        <v>2</v>
      </c>
      <c r="E7" s="33" t="inlineStr">
        <is>
          <t>CAP MENUISIER INSTALLATEUR</t>
        </is>
      </c>
      <c r="F7" s="13">
        <v>45173.0</v>
      </c>
      <c r="G7" s="13">
        <v>45898.0</v>
      </c>
      <c r="H7" s="13">
        <v>39227.0</v>
      </c>
      <c r="I7" s="14" t="n">
        <v>18</v>
      </c>
      <c r="J7" s="24" t="inlineStr">
        <is>
          <t>16-20</t>
        </is>
      </c>
      <c r="K7" s="25" t="inlineStr">
        <is>
          <t>Apprenti</t>
        </is>
      </c>
      <c r="L7" s="26" t="n">
        <v>150</v>
      </c>
      <c r="M7" s="14" t="inlineStr">
        <is>
          <t/>
        </is>
      </c>
      <c r="N7" s="14" t="n">
        <v>4.43</v>
      </c>
      <c r="O7" s="14" t="n">
        <v>0</v>
      </c>
      <c r="P7" s="14" t="inlineStr">
        <is>
          <t/>
        </is>
      </c>
      <c r="Q7" s="14" t="inlineStr">
        <is>
          <t/>
        </is>
      </c>
      <c r="R7" s="14" t="inlineStr">
        <is>
          <t/>
        </is>
      </c>
      <c r="S7" s="14"/>
      <c r="T7" s="14" t="inlineStr">
        <is>
          <t>482 Rue louis part 62190 AUCHY AU BOIS</t>
        </is>
      </c>
      <c r="U7" s="14" t="inlineStr">
        <is>
          <t>Parent</t>
        </is>
      </c>
      <c r="V7" s="14" t="inlineStr">
        <is>
          <t>482 Rue louis part 62190 AUCHY AU BOIS</t>
        </is>
      </c>
      <c r="W7" s="27" t="inlineStr">
        <is>
          <t>39H (35h+17H33) sauf au CFA 35H</t>
        </is>
      </c>
      <c r="X7" s="14" t="n">
        <v>0</v>
      </c>
    </row>
    <row customHeight="1" ht="20" r="8">
      <c r="A8" s="3" t="inlineStr">
        <is>
          <t>MEISSNER Maxence</t>
        </is>
      </c>
      <c r="B8" s="14" t="inlineStr">
        <is>
          <t/>
        </is>
      </c>
      <c r="C8" s="34" t="inlineStr">
        <is>
          <t>Menuisier polyvalent</t>
        </is>
      </c>
      <c r="D8" s="14" t="n">
        <v>6</v>
      </c>
      <c r="E8" s="35" t="inlineStr">
        <is>
          <t>BAC PRO menuisier agenceur</t>
        </is>
      </c>
      <c r="F8" s="13">
        <v>43578.0</v>
      </c>
      <c r="G8" s="13" t="inlineStr">
        <is>
          <t/>
        </is>
      </c>
      <c r="H8" s="13">
        <v>35235.0</v>
      </c>
      <c r="I8" s="14" t="n">
        <v>29</v>
      </c>
      <c r="J8" s="36" t="inlineStr">
        <is>
          <t>25-30</t>
        </is>
      </c>
      <c r="K8" s="37" t="inlineStr">
        <is>
          <t>N3 P1 C210</t>
        </is>
      </c>
      <c r="L8" s="38" t="n">
        <v>210</v>
      </c>
      <c r="M8" s="14" t="n">
        <v>13.74</v>
      </c>
      <c r="N8" s="14" t="n">
        <v>13.45</v>
      </c>
      <c r="O8" s="14" t="n">
        <v>11.868</v>
      </c>
      <c r="P8" s="14" t="n">
        <v>11.472</v>
      </c>
      <c r="Q8" s="14" t="n">
        <v>11.084</v>
      </c>
      <c r="R8" s="14" t="n">
        <v>11.084</v>
      </c>
      <c r="S8" s="14" t="n">
        <v>13.3299629255</v>
      </c>
      <c r="T8" s="14" t="inlineStr">
        <is>
          <t>125 Rue de Dunkerque appartement 16, 62500 Saint-Omer, France</t>
        </is>
      </c>
      <c r="U8" s="14" t="inlineStr">
        <is>
          <t>Famille</t>
        </is>
      </c>
      <c r="V8" s="14" t="inlineStr">
        <is>
          <t>125, rue de Dunkerque Apartement 16 - 62500 Saint Omer</t>
        </is>
      </c>
      <c r="W8" s="21" t="inlineStr">
        <is>
          <t>39H (35h+17H33)</t>
        </is>
      </c>
      <c r="X8" s="14" t="n">
        <v>32.19</v>
      </c>
    </row>
    <row customHeight="1" ht="20" r="9">
      <c r="A9" s="3" t="inlineStr">
        <is>
          <t>POURCHEL Franck</t>
        </is>
      </c>
      <c r="B9" s="14" t="inlineStr">
        <is>
          <t/>
        </is>
      </c>
      <c r="C9" s="34" t="inlineStr">
        <is>
          <t>Menuisier polyvalent</t>
        </is>
      </c>
      <c r="D9" s="14" t="n">
        <v>9</v>
      </c>
      <c r="E9" s="33" t="inlineStr">
        <is>
          <t>CAP MENUISIER INSTALLATEUR</t>
        </is>
      </c>
      <c r="F9" s="13">
        <v>42507.0</v>
      </c>
      <c r="G9" s="13" t="inlineStr">
        <is>
          <t/>
        </is>
      </c>
      <c r="H9" s="13">
        <v>26200.0</v>
      </c>
      <c r="I9" s="14" t="n">
        <v>54</v>
      </c>
      <c r="J9" s="39" t="inlineStr">
        <is>
          <t>50-55</t>
        </is>
      </c>
      <c r="K9" s="19" t="inlineStr">
        <is>
          <t>N3 P2 C230</t>
        </is>
      </c>
      <c r="L9" s="20" t="n">
        <v>230</v>
      </c>
      <c r="M9" s="14" t="n">
        <v>14.769</v>
      </c>
      <c r="N9" s="14" t="n">
        <v>14.479</v>
      </c>
      <c r="O9" s="14" t="n">
        <v>14.307</v>
      </c>
      <c r="P9" s="14" t="n">
        <v>13.564</v>
      </c>
      <c r="Q9" s="14" t="n">
        <v>13.233</v>
      </c>
      <c r="R9" s="14" t="n">
        <v>12.202</v>
      </c>
      <c r="S9" s="14" t="n">
        <v>1.202208709</v>
      </c>
      <c r="T9" s="14" t="inlineStr">
        <is>
          <t>2 Cité des Alouettes, 62380 Lumbres, France</t>
        </is>
      </c>
      <c r="U9" s="14" t="inlineStr">
        <is>
          <t>Famille</t>
        </is>
      </c>
      <c r="V9" s="14" t="inlineStr">
        <is>
          <t>2 Cité des Alouettes - 62380 LUMBRES</t>
        </is>
      </c>
      <c r="W9" s="21" t="inlineStr">
        <is>
          <t>39H (35h+17H33)</t>
        </is>
      </c>
      <c r="X9" s="14" t="n">
        <v>68.7</v>
      </c>
    </row>
    <row customHeight="1" ht="20" r="10">
      <c r="A10" s="3" t="inlineStr">
        <is>
          <t>RODRIGUEZ Antoine</t>
        </is>
      </c>
      <c r="B10" s="14" t="inlineStr">
        <is>
          <t/>
        </is>
      </c>
      <c r="C10" s="16" t="inlineStr">
        <is>
          <t>Chef d'équipe</t>
        </is>
      </c>
      <c r="D10" s="14" t="n">
        <v>2</v>
      </c>
      <c r="E10" s="33" t="inlineStr">
        <is>
          <t>CAP MENUISIER INSTALLATEUR</t>
        </is>
      </c>
      <c r="F10" s="13">
        <v>45222.0</v>
      </c>
      <c r="G10" s="13" t="inlineStr">
        <is>
          <t/>
        </is>
      </c>
      <c r="H10" s="13">
        <v>29214.0</v>
      </c>
      <c r="I10" s="14" t="n">
        <v>46</v>
      </c>
      <c r="J10" s="40" t="inlineStr">
        <is>
          <t>45-50</t>
        </is>
      </c>
      <c r="K10" s="41" t="inlineStr">
        <is>
          <t>N4 P2 C270</t>
        </is>
      </c>
      <c r="L10" s="42" t="n">
        <v>270</v>
      </c>
      <c r="M10" s="14" t="n">
        <v>17.248</v>
      </c>
      <c r="N10" s="14" t="n">
        <v>16.971</v>
      </c>
      <c r="O10" s="14" t="n">
        <v>16.57</v>
      </c>
      <c r="P10" s="14" t="inlineStr">
        <is>
          <t/>
        </is>
      </c>
      <c r="Q10" s="14" t="inlineStr">
        <is>
          <t/>
        </is>
      </c>
      <c r="R10" s="14" t="inlineStr">
        <is>
          <t/>
        </is>
      </c>
      <c r="S10" s="14" t="n">
        <v>2.42003621</v>
      </c>
      <c r="T10" s="14" t="inlineStr">
        <is>
          <t>605 Rue de Borre, Vieux-Berquin, France</t>
        </is>
      </c>
      <c r="U10" s="14" t="inlineStr">
        <is>
          <t>Famille</t>
        </is>
      </c>
      <c r="V10" s="14" t="inlineStr">
        <is>
          <t>605 rue de borre 59232 VIEUX BERQUIN</t>
        </is>
      </c>
      <c r="W10" s="21" t="inlineStr">
        <is>
          <t>39H (35h+17H33)</t>
        </is>
      </c>
      <c r="X10" s="14" t="n">
        <v>75.38</v>
      </c>
    </row>
    <row customHeight="1" ht="20" r="11">
      <c r="A11" s="3" t="inlineStr">
        <is>
          <t>ROSE Bryan</t>
        </is>
      </c>
      <c r="B11" s="14" t="inlineStr">
        <is>
          <t/>
        </is>
      </c>
      <c r="C11" s="43" t="inlineStr">
        <is>
          <t>Menuisier</t>
        </is>
      </c>
      <c r="D11" s="14" t="n">
        <v>6</v>
      </c>
      <c r="E11" s="44" t="inlineStr">
        <is>
          <t>BP MENUISIER</t>
        </is>
      </c>
      <c r="F11" s="13">
        <v>43680.0</v>
      </c>
      <c r="G11" s="13" t="inlineStr">
        <is>
          <t/>
        </is>
      </c>
      <c r="H11" s="13">
        <v>36447.0</v>
      </c>
      <c r="I11" s="14" t="n">
        <v>26</v>
      </c>
      <c r="J11" s="45" t="inlineStr">
        <is>
          <t>20-25</t>
        </is>
      </c>
      <c r="K11" s="46" t="inlineStr">
        <is>
          <t>N2 P1 C185</t>
        </is>
      </c>
      <c r="L11" s="47" t="n">
        <v>185</v>
      </c>
      <c r="M11" s="14" t="n">
        <v>12.725</v>
      </c>
      <c r="N11" s="14" t="n">
        <v>12.455</v>
      </c>
      <c r="O11" s="14" t="n">
        <v>11.571</v>
      </c>
      <c r="P11" s="14" t="n">
        <v>11.07</v>
      </c>
      <c r="Q11" s="14" t="n">
        <v>10.426</v>
      </c>
      <c r="R11" s="14" t="n">
        <v>8.12</v>
      </c>
      <c r="S11" s="14" t="n">
        <v>7.639789128</v>
      </c>
      <c r="T11" s="14" t="inlineStr">
        <is>
          <t>Lumbres, France</t>
        </is>
      </c>
      <c r="U11" s="14" t="inlineStr">
        <is>
          <t>Famille</t>
        </is>
      </c>
      <c r="V11" s="14" t="inlineStr">
        <is>
          <t>441 r d'Ecques - INGHEM - 62129 BELLINGHEM</t>
        </is>
      </c>
      <c r="W11" s="21" t="inlineStr">
        <is>
          <t>39H (35h+17H33)</t>
        </is>
      </c>
      <c r="X11" s="14" t="n">
        <v>53.18</v>
      </c>
    </row>
    <row customHeight="1" ht="20" r="12">
      <c r="A12" s="3" t="inlineStr">
        <is>
          <t>TRISTRAM Arnaud</t>
        </is>
      </c>
      <c r="B12" s="14" t="inlineStr">
        <is>
          <t/>
        </is>
      </c>
      <c r="C12" s="16" t="inlineStr">
        <is>
          <t>Chef d'équipe</t>
        </is>
      </c>
      <c r="D12" s="14" t="n">
        <v>27</v>
      </c>
      <c r="E12" s="17" t="inlineStr">
        <is>
          <t>CAP CHARPENTIER</t>
        </is>
      </c>
      <c r="F12" s="13">
        <v>36070.0</v>
      </c>
      <c r="G12" s="13" t="inlineStr">
        <is>
          <t/>
        </is>
      </c>
      <c r="H12" s="13">
        <v>26419.0</v>
      </c>
      <c r="I12" s="14" t="n">
        <v>53</v>
      </c>
      <c r="J12" s="39" t="inlineStr">
        <is>
          <t>50-55</t>
        </is>
      </c>
      <c r="K12" s="31" t="inlineStr">
        <is>
          <t>N4 P1 C250</t>
        </is>
      </c>
      <c r="L12" s="32" t="n">
        <v>250</v>
      </c>
      <c r="M12" s="14" t="n">
        <v>16.068</v>
      </c>
      <c r="N12" s="14" t="n">
        <v>15.791</v>
      </c>
      <c r="O12" s="14" t="n">
        <v>15.461</v>
      </c>
      <c r="P12" s="14" t="n">
        <v>14.682</v>
      </c>
      <c r="Q12" s="14" t="n">
        <v>14.324</v>
      </c>
      <c r="R12" s="14" t="n">
        <v>14.324</v>
      </c>
      <c r="S12" s="14" t="n">
        <v>2.1344026906</v>
      </c>
      <c r="T12" s="14" t="inlineStr">
        <is>
          <t>5 Rue Hermand, 62145 Enquin-lez-Guinegatte, France</t>
        </is>
      </c>
      <c r="U12" s="14" t="inlineStr">
        <is>
          <t>Seul</t>
        </is>
      </c>
      <c r="V12" s="14" t="inlineStr">
        <is>
          <t>5 r Ernest Hermand - 62145 ENQUIN LEZ GUINEGATTE</t>
        </is>
      </c>
      <c r="W12" s="21" t="inlineStr">
        <is>
          <t>39H (35h+17H33)</t>
        </is>
      </c>
      <c r="X12" s="14" t="n">
        <v>41.44</v>
      </c>
    </row>
    <row customHeight="1" ht="20" r="13">
      <c r="A13" s="3" t="inlineStr">
        <is>
          <t>VEXTARD Dimitri</t>
        </is>
      </c>
      <c r="B13" s="14" t="inlineStr">
        <is>
          <t/>
        </is>
      </c>
      <c r="C13" s="34" t="inlineStr">
        <is>
          <t>Menuisier polyvalent</t>
        </is>
      </c>
      <c r="D13" s="14" t="n">
        <v>2</v>
      </c>
      <c r="E13" s="29" t="inlineStr">
        <is>
          <t>CAP MENUISIER FABRICANT</t>
        </is>
      </c>
      <c r="F13" s="13">
        <v>45020.0</v>
      </c>
      <c r="G13" s="13" t="inlineStr">
        <is>
          <t/>
        </is>
      </c>
      <c r="H13" s="13">
        <v>32141.0</v>
      </c>
      <c r="I13" s="14" t="n">
        <v>38</v>
      </c>
      <c r="J13" s="48" t="inlineStr">
        <is>
          <t>35-40</t>
        </is>
      </c>
      <c r="K13" s="37" t="inlineStr">
        <is>
          <t>N3 P1 C210</t>
        </is>
      </c>
      <c r="L13" s="38" t="n">
        <v>210</v>
      </c>
      <c r="M13" s="14" t="n">
        <v>13.74</v>
      </c>
      <c r="N13" s="14" t="n">
        <v>13.45</v>
      </c>
      <c r="O13" s="14" t="n">
        <v>13.18</v>
      </c>
      <c r="P13" s="14" t="n">
        <v>0</v>
      </c>
      <c r="Q13" s="14" t="inlineStr">
        <is>
          <t/>
        </is>
      </c>
      <c r="R13" s="14" t="inlineStr">
        <is>
          <t/>
        </is>
      </c>
      <c r="S13" s="14" t="n">
        <v>2.0485584219</v>
      </c>
      <c r="T13" s="14" t="inlineStr">
        <is>
          <t>5 Résidence les coquelicots 62190 LILLERS</t>
        </is>
      </c>
      <c r="U13" s="14" t="inlineStr">
        <is>
          <t>Famille</t>
        </is>
      </c>
      <c r="V13" s="14" t="inlineStr">
        <is>
          <t>5 Résidence les coquelicots 62190 LILLERS</t>
        </is>
      </c>
      <c r="W13" s="21" t="inlineStr">
        <is>
          <t>39H (35h+17H33)</t>
        </is>
      </c>
      <c r="X13" s="14" t="n">
        <v>62.19</v>
      </c>
    </row>
    <row customHeight="1" ht="20" r="14">
      <c r="A14" s="3" t="inlineStr">
        <is>
          <t>WIDEHEN Jean-Charles</t>
        </is>
      </c>
      <c r="B14" s="14" t="inlineStr">
        <is>
          <t/>
        </is>
      </c>
      <c r="C14" s="43" t="inlineStr">
        <is>
          <t>Menuisier</t>
        </is>
      </c>
      <c r="D14" s="14" t="n">
        <v>25</v>
      </c>
      <c r="E14" s="33" t="inlineStr">
        <is>
          <t>CAP MENUISIER INSTALLATEUR</t>
        </is>
      </c>
      <c r="F14" s="13">
        <v>36531.0</v>
      </c>
      <c r="G14" s="13" t="inlineStr">
        <is>
          <t/>
        </is>
      </c>
      <c r="H14" s="13">
        <v>23418.0</v>
      </c>
      <c r="I14" s="14" t="n">
        <v>61</v>
      </c>
      <c r="J14" s="30" t="n">
        <v>55</v>
      </c>
      <c r="K14" s="19" t="inlineStr">
        <is>
          <t>N3 P2 C230</t>
        </is>
      </c>
      <c r="L14" s="20" t="n">
        <v>230</v>
      </c>
      <c r="M14" s="14" t="n">
        <v>14.769</v>
      </c>
      <c r="N14" s="14" t="n">
        <v>14.479</v>
      </c>
      <c r="O14" s="14" t="n">
        <v>14.307</v>
      </c>
      <c r="P14" s="14" t="n">
        <v>13.564</v>
      </c>
      <c r="Q14" s="14" t="n">
        <v>13.233</v>
      </c>
      <c r="R14" s="14" t="n">
        <v>12.202</v>
      </c>
      <c r="S14" s="14" t="n">
        <v>1.202208709</v>
      </c>
      <c r="T14" s="14" t="inlineStr">
        <is>
          <t>30B Enclos des Peupliers - 62560 AUDINCTHUN</t>
        </is>
      </c>
      <c r="U14" s="14" t="inlineStr">
        <is>
          <t>Famille</t>
        </is>
      </c>
      <c r="V14" s="14" t="inlineStr">
        <is>
          <t>30B Enclos des Peupliers - 62560 AUDINCTHUN</t>
        </is>
      </c>
      <c r="W14" s="21" t="inlineStr">
        <is>
          <t>39H (35h+17H33)</t>
        </is>
      </c>
      <c r="X14" s="14" t="n">
        <v>65.27</v>
      </c>
    </row>
    <row customHeight="1" ht="20" r="15">
      <c r="A15" s="3" t="inlineStr">
        <is>
          <t>ANSART Frédéric</t>
        </is>
      </c>
      <c r="B15" s="14" t="inlineStr">
        <is>
          <t/>
        </is>
      </c>
      <c r="C15" s="34" t="inlineStr">
        <is>
          <t>Menuisier polyvalent</t>
        </is>
      </c>
      <c r="D15" s="14" t="n">
        <v>1</v>
      </c>
      <c r="E15" s="49" t="inlineStr">
        <is>
          <t/>
        </is>
      </c>
      <c r="F15" s="13">
        <v>45384.0</v>
      </c>
      <c r="G15" s="13" t="inlineStr">
        <is>
          <t/>
        </is>
      </c>
      <c r="H15" s="13">
        <v>28048.0</v>
      </c>
      <c r="I15" s="14" t="n">
        <v>49</v>
      </c>
      <c r="J15" s="40" t="inlineStr">
        <is>
          <t>45-50</t>
        </is>
      </c>
      <c r="K15" s="46" t="inlineStr">
        <is>
          <t>N2 P1 C185</t>
        </is>
      </c>
      <c r="L15" s="47" t="n">
        <v>185</v>
      </c>
      <c r="M15" s="14" t="n">
        <v>12.725</v>
      </c>
      <c r="N15" s="14" t="n">
        <v>12.4547</v>
      </c>
      <c r="O15" s="14" t="inlineStr">
        <is>
          <t/>
        </is>
      </c>
      <c r="P15" s="14" t="inlineStr">
        <is>
          <t/>
        </is>
      </c>
      <c r="Q15" s="14" t="inlineStr">
        <is>
          <t/>
        </is>
      </c>
      <c r="R15" s="14" t="inlineStr">
        <is>
          <t/>
        </is>
      </c>
      <c r="S15" s="14"/>
      <c r="T15" s="14" t="inlineStr">
        <is>
          <t>172 Rue de Constantinople, Aire-sur-la-Lys, France</t>
        </is>
      </c>
      <c r="U15" s="14" t="inlineStr">
        <is>
          <t>Seul</t>
        </is>
      </c>
      <c r="V15" s="14" t="inlineStr">
        <is>
          <t>172 D rue de constantinople, 62120 AIRE SUR LA LYS</t>
        </is>
      </c>
      <c r="W15" s="21" t="inlineStr">
        <is>
          <t>39H (35h+17H33)</t>
        </is>
      </c>
      <c r="X15" s="14" t="inlineStr">
        <is>
          <t/>
        </is>
      </c>
    </row>
    <row customHeight="1" ht="20" r="16">
      <c r="A16" s="3" t="inlineStr">
        <is>
          <t>BAUVAIS Julien</t>
        </is>
      </c>
      <c r="B16" s="14" t="inlineStr">
        <is>
          <t/>
        </is>
      </c>
      <c r="C16" s="16" t="inlineStr">
        <is>
          <t>Chef d'équipe</t>
        </is>
      </c>
      <c r="D16" s="14" t="n">
        <v>1</v>
      </c>
      <c r="E16" s="29" t="inlineStr">
        <is>
          <t>CAP MENUISIER FABRICANT</t>
        </is>
      </c>
      <c r="F16" s="13">
        <v>45427.0</v>
      </c>
      <c r="G16" s="13" t="inlineStr">
        <is>
          <t/>
        </is>
      </c>
      <c r="H16" s="13">
        <v>31982.0</v>
      </c>
      <c r="I16" s="14" t="n">
        <v>38</v>
      </c>
      <c r="J16" s="48" t="inlineStr">
        <is>
          <t>35-40</t>
        </is>
      </c>
      <c r="K16" s="19" t="inlineStr">
        <is>
          <t>N3 P2 C230</t>
        </is>
      </c>
      <c r="L16" s="20" t="n">
        <v>230</v>
      </c>
      <c r="M16" s="14" t="n">
        <v>14.769</v>
      </c>
      <c r="N16" s="14" t="n">
        <v>14.479</v>
      </c>
      <c r="O16" s="14" t="inlineStr">
        <is>
          <t/>
        </is>
      </c>
      <c r="P16" s="14" t="inlineStr">
        <is>
          <t/>
        </is>
      </c>
      <c r="Q16" s="14" t="inlineStr">
        <is>
          <t/>
        </is>
      </c>
      <c r="R16" s="14" t="inlineStr">
        <is>
          <t/>
        </is>
      </c>
      <c r="S16" s="14"/>
      <c r="T16" s="14" t="inlineStr">
        <is>
          <t>1 Rue du Presbytère, Rely, France</t>
        </is>
      </c>
      <c r="U16" s="14" t="inlineStr">
        <is>
          <t>Famille</t>
        </is>
      </c>
      <c r="V16" s="14" t="inlineStr">
        <is>
          <t>1bis rue du presbytère, 62120 RELY</t>
        </is>
      </c>
      <c r="W16" s="21" t="inlineStr">
        <is>
          <t>39H (35h+17H33)</t>
        </is>
      </c>
      <c r="X16" s="14" t="inlineStr">
        <is>
          <t/>
        </is>
      </c>
    </row>
    <row customHeight="1" ht="20" r="17">
      <c r="A17" s="3" t="inlineStr">
        <is>
          <t>PONCIN Thomas</t>
        </is>
      </c>
      <c r="B17" s="14" t="inlineStr">
        <is>
          <t/>
        </is>
      </c>
      <c r="C17" s="34" t="inlineStr">
        <is>
          <t>Menuisier polyvalent</t>
        </is>
      </c>
      <c r="D17" s="14" t="n">
        <v>1</v>
      </c>
      <c r="E17" s="49" t="inlineStr">
        <is>
          <t/>
        </is>
      </c>
      <c r="F17" s="13">
        <v>45432.0</v>
      </c>
      <c r="G17" s="13" t="inlineStr">
        <is>
          <t/>
        </is>
      </c>
      <c r="H17" s="13">
        <v>35956.0</v>
      </c>
      <c r="I17" s="14" t="n">
        <v>27</v>
      </c>
      <c r="J17" s="36" t="inlineStr">
        <is>
          <t>25-30</t>
        </is>
      </c>
      <c r="K17" s="50" t="inlineStr">
        <is>
          <t>N1 P2 C170</t>
        </is>
      </c>
      <c r="L17" s="51" t="n">
        <v>170</v>
      </c>
      <c r="M17" s="14" t="n">
        <v>12.085</v>
      </c>
      <c r="N17" s="14" t="n">
        <v>11.887</v>
      </c>
      <c r="O17" s="14" t="inlineStr">
        <is>
          <t/>
        </is>
      </c>
      <c r="P17" s="14" t="inlineStr">
        <is>
          <t/>
        </is>
      </c>
      <c r="Q17" s="14" t="inlineStr">
        <is>
          <t/>
        </is>
      </c>
      <c r="R17" s="14" t="inlineStr">
        <is>
          <t/>
        </is>
      </c>
      <c r="S17" s="14"/>
      <c r="T17" s="14" t="inlineStr">
        <is>
          <t>14 Rue de Beaumetz, Matringhem, France</t>
        </is>
      </c>
      <c r="U17" s="14" t="inlineStr">
        <is>
          <t>Famille</t>
        </is>
      </c>
      <c r="V17" s="14" t="inlineStr">
        <is>
          <t>1 rue de montreuil, 62650 HERLY</t>
        </is>
      </c>
      <c r="W17" s="21" t="inlineStr">
        <is>
          <t>39H (35h+17H33)</t>
        </is>
      </c>
      <c r="X17" s="14" t="inlineStr">
        <is>
          <t/>
        </is>
      </c>
    </row>
    <row customHeight="1" ht="20" r="18">
      <c r="A18" s="3" t="inlineStr">
        <is>
          <t>ARGENTIN Michel</t>
        </is>
      </c>
      <c r="B18" s="14" t="inlineStr">
        <is>
          <t/>
        </is>
      </c>
      <c r="C18" s="34" t="inlineStr">
        <is>
          <t>Menuisier polyvalent</t>
        </is>
      </c>
      <c r="D18" s="14" t="n">
        <v>1</v>
      </c>
      <c r="E18" s="49" t="inlineStr">
        <is>
          <t/>
        </is>
      </c>
      <c r="F18" s="13">
        <v>45482.0</v>
      </c>
      <c r="G18" s="13">
        <v>45723.0</v>
      </c>
      <c r="H18" s="13">
        <v>26275.0</v>
      </c>
      <c r="I18" s="14" t="n">
        <v>54</v>
      </c>
      <c r="J18" s="39" t="inlineStr">
        <is>
          <t>50-55</t>
        </is>
      </c>
      <c r="K18" s="46" t="inlineStr">
        <is>
          <t>N2 P1 C185</t>
        </is>
      </c>
      <c r="L18" s="47" t="n">
        <v>185</v>
      </c>
      <c r="M18" s="14" t="n">
        <v>12.725</v>
      </c>
      <c r="N18" s="14" t="n">
        <v>12.4547</v>
      </c>
      <c r="O18" s="14" t="n">
        <v>0</v>
      </c>
      <c r="P18" s="14" t="inlineStr">
        <is>
          <t/>
        </is>
      </c>
      <c r="Q18" s="14" t="inlineStr">
        <is>
          <t/>
        </is>
      </c>
      <c r="R18" s="14" t="inlineStr">
        <is>
          <t/>
        </is>
      </c>
      <c r="S18" s="14"/>
      <c r="T18" s="14" t="inlineStr">
        <is>
          <t>29 Rue de Montechor, Montcavrel, France</t>
        </is>
      </c>
      <c r="U18" s="14" t="inlineStr">
        <is>
          <t>Seul</t>
        </is>
      </c>
      <c r="V18" s="14" t="inlineStr">
        <is>
          <t>40 rue de marlborough 62280 saint martin boulogne</t>
        </is>
      </c>
      <c r="W18" s="21" t="inlineStr">
        <is>
          <t>39H (35h+17H33)</t>
        </is>
      </c>
      <c r="X18" s="14" t="inlineStr">
        <is>
          <t/>
        </is>
      </c>
    </row>
    <row customHeight="1" ht="20" r="19">
      <c r="A19" s="3" t="inlineStr">
        <is>
          <t>VOLLEZ Julien</t>
        </is>
      </c>
      <c r="B19" s="14" t="inlineStr">
        <is>
          <t/>
        </is>
      </c>
      <c r="C19" s="16" t="inlineStr">
        <is>
          <t>Chef d'équipe</t>
        </is>
      </c>
      <c r="D19" s="14" t="n">
        <v>1</v>
      </c>
      <c r="E19" s="49" t="inlineStr">
        <is>
          <t/>
        </is>
      </c>
      <c r="F19" s="13">
        <v>45530.0</v>
      </c>
      <c r="G19" s="13" t="inlineStr">
        <is>
          <t/>
        </is>
      </c>
      <c r="H19" s="13">
        <v>36699.0</v>
      </c>
      <c r="I19" s="14" t="n">
        <v>25</v>
      </c>
      <c r="J19" s="45" t="inlineStr">
        <is>
          <t>20-25</t>
        </is>
      </c>
      <c r="K19" s="46" t="inlineStr">
        <is>
          <t>N2 P1 C185</t>
        </is>
      </c>
      <c r="L19" s="47" t="n">
        <v>185</v>
      </c>
      <c r="M19" s="14" t="n">
        <v>12.725</v>
      </c>
      <c r="N19" s="14" t="n">
        <v>12.95</v>
      </c>
      <c r="O19" s="14" t="inlineStr">
        <is>
          <t/>
        </is>
      </c>
      <c r="P19" s="14" t="inlineStr">
        <is>
          <t/>
        </is>
      </c>
      <c r="Q19" s="14" t="inlineStr">
        <is>
          <t/>
        </is>
      </c>
      <c r="R19" s="14" t="inlineStr">
        <is>
          <t/>
        </is>
      </c>
      <c r="S19" s="14"/>
      <c r="T19" s="14" t="inlineStr">
        <is>
          <t>24 Rue de Verdun, 59173 Lynde, France</t>
        </is>
      </c>
      <c r="U19" s="14" t="inlineStr">
        <is>
          <t>Seul</t>
        </is>
      </c>
      <c r="V19" s="14" t="inlineStr">
        <is>
          <t>24 rue de verdun 59173 lynde</t>
        </is>
      </c>
      <c r="W19" s="21" t="inlineStr">
        <is>
          <t>39H (35h+17H33)</t>
        </is>
      </c>
      <c r="X19" s="14" t="inlineStr">
        <is>
          <t/>
        </is>
      </c>
    </row>
    <row customHeight="1" ht="20" r="20">
      <c r="A20" s="3" t="inlineStr">
        <is>
          <t>HAUTECOEUR Sébastien</t>
        </is>
      </c>
      <c r="B20" s="14" t="inlineStr">
        <is>
          <t/>
        </is>
      </c>
      <c r="C20" s="34" t="inlineStr">
        <is>
          <t>Menuisier polyvalent</t>
        </is>
      </c>
      <c r="D20" s="14" t="n">
        <v>1</v>
      </c>
      <c r="E20" s="49" t="inlineStr">
        <is>
          <t/>
        </is>
      </c>
      <c r="F20" s="13">
        <v>45593.0</v>
      </c>
      <c r="G20" s="13" t="inlineStr">
        <is>
          <t/>
        </is>
      </c>
      <c r="H20" s="13">
        <v>28642.0</v>
      </c>
      <c r="I20" s="14" t="n">
        <v>47</v>
      </c>
      <c r="J20" s="40" t="inlineStr">
        <is>
          <t>45-50</t>
        </is>
      </c>
      <c r="K20" s="50" t="inlineStr">
        <is>
          <t>N1 P2 C170</t>
        </is>
      </c>
      <c r="L20" s="51" t="n">
        <v>170</v>
      </c>
      <c r="M20" s="14" t="n">
        <v>12.085</v>
      </c>
      <c r="N20" s="14" t="n">
        <v>11.887</v>
      </c>
      <c r="O20" s="14" t="inlineStr">
        <is>
          <t/>
        </is>
      </c>
      <c r="P20" s="14" t="inlineStr">
        <is>
          <t/>
        </is>
      </c>
      <c r="Q20" s="14" t="inlineStr">
        <is>
          <t/>
        </is>
      </c>
      <c r="R20" s="14" t="inlineStr">
        <is>
          <t/>
        </is>
      </c>
      <c r="S20" s="14"/>
      <c r="T20" s="14" t="inlineStr">
        <is>
          <t>8 Rue de Rimboval, 62310 Créquy, France</t>
        </is>
      </c>
      <c r="U20" s="14" t="inlineStr">
        <is>
          <t>Famille</t>
        </is>
      </c>
      <c r="V20" s="14" t="inlineStr">
        <is>
          <t>8 RUE DE RIMBOVAL 62310 CREQUY</t>
        </is>
      </c>
      <c r="W20" s="21" t="inlineStr">
        <is>
          <t>39H (35h+17H33)</t>
        </is>
      </c>
      <c r="X20" s="14" t="inlineStr">
        <is>
          <t/>
        </is>
      </c>
    </row>
    <row customHeight="1" ht="20" r="21">
      <c r="A21" s="3" t="inlineStr">
        <is>
          <t>FLAHAUT Cédric</t>
        </is>
      </c>
      <c r="B21" s="14" t="inlineStr">
        <is>
          <t/>
        </is>
      </c>
      <c r="C21" s="34" t="inlineStr">
        <is>
          <t>Menuisier polyvalent</t>
        </is>
      </c>
      <c r="D21" s="14" t="n">
        <v>0</v>
      </c>
      <c r="E21" s="49" t="inlineStr">
        <is>
          <t/>
        </is>
      </c>
      <c r="F21" s="13">
        <v>45677.0</v>
      </c>
      <c r="G21" s="13" t="inlineStr">
        <is>
          <t/>
        </is>
      </c>
      <c r="H21" s="13">
        <v>30238.0</v>
      </c>
      <c r="I21" s="14" t="n">
        <v>43</v>
      </c>
      <c r="J21" s="40" t="inlineStr">
        <is>
          <t>45-50</t>
        </is>
      </c>
      <c r="K21" s="50" t="inlineStr">
        <is>
          <t>N1 P2 C170</t>
        </is>
      </c>
      <c r="L21" s="51" t="n">
        <v>170</v>
      </c>
      <c r="M21" s="14" t="n">
        <v>12.085</v>
      </c>
      <c r="N21" s="14" t="n">
        <v>11.887</v>
      </c>
      <c r="O21" s="14" t="inlineStr">
        <is>
          <t/>
        </is>
      </c>
      <c r="P21" s="14" t="inlineStr">
        <is>
          <t/>
        </is>
      </c>
      <c r="Q21" s="14" t="inlineStr">
        <is>
          <t/>
        </is>
      </c>
      <c r="R21" s="14" t="inlineStr">
        <is>
          <t/>
        </is>
      </c>
      <c r="S21" s="14"/>
      <c r="T21" s="14" t="inlineStr">
        <is>
          <t>15 Rue Jonnart, Fauquembergues, France</t>
        </is>
      </c>
      <c r="U21" s="14" t="inlineStr">
        <is>
          <t>Famille</t>
        </is>
      </c>
      <c r="V21" s="14" t="inlineStr">
        <is>
          <t>15 rue de jonnart bt 3 62560 FAUQUEMBERGUES</t>
        </is>
      </c>
      <c r="W21" s="21" t="inlineStr">
        <is>
          <t>39H (35h+17H33)</t>
        </is>
      </c>
      <c r="X21" s="14" t="inlineStr">
        <is>
          <t/>
        </is>
      </c>
    </row>
    <row customHeight="1" ht="20" r="22">
      <c r="A22" s="3" t="inlineStr">
        <is>
          <t>QUERE Alexis</t>
        </is>
      </c>
      <c r="B22" s="14" t="inlineStr">
        <is>
          <t/>
        </is>
      </c>
      <c r="C22" s="22" t="inlineStr">
        <is>
          <t>Apprenti menuisier</t>
        </is>
      </c>
      <c r="D22" s="14" t="n">
        <v>0</v>
      </c>
      <c r="E22" s="49" t="inlineStr">
        <is>
          <t/>
        </is>
      </c>
      <c r="F22" s="13">
        <v>45839.0</v>
      </c>
      <c r="G22" s="13">
        <v>46568.0</v>
      </c>
      <c r="H22" s="13">
        <v>39615.0</v>
      </c>
      <c r="I22" s="14" t="n">
        <v>17</v>
      </c>
      <c r="J22" s="24" t="inlineStr">
        <is>
          <t>16-20</t>
        </is>
      </c>
      <c r="K22" s="25" t="inlineStr">
        <is>
          <t>Apprenti</t>
        </is>
      </c>
      <c r="L22" s="26" t="n">
        <v>150</v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/>
        </is>
      </c>
      <c r="Q22" s="14" t="inlineStr">
        <is>
          <t/>
        </is>
      </c>
      <c r="R22" s="14" t="inlineStr">
        <is>
          <t/>
        </is>
      </c>
      <c r="S22" s="14"/>
      <c r="T22" s="14" t="inlineStr">
        <is>
          <t>18 Rue de Cuhem, Erny-Saint-Julien, France</t>
        </is>
      </c>
      <c r="U22" s="14" t="inlineStr">
        <is>
          <t/>
        </is>
      </c>
      <c r="V22" s="14" t="inlineStr">
        <is>
          <t>18 rue de cuhem 62960 ERGNY SAINT JULIEN</t>
        </is>
      </c>
      <c r="W22" s="27" t="inlineStr">
        <is>
          <t>39H (35h+17H33) sauf au CFA 35H</t>
        </is>
      </c>
      <c r="X22" s="14" t="inlineStr">
        <is>
          <t/>
        </is>
      </c>
    </row>
    <row customHeight="1" ht="20" r="23">
      <c r="A23" s="3" t="inlineStr">
        <is>
          <t>GRAVE Kyliann</t>
        </is>
      </c>
      <c r="B23" s="14" t="inlineStr">
        <is>
          <t/>
        </is>
      </c>
      <c r="C23" s="22" t="inlineStr">
        <is>
          <t>Apprenti menuisier</t>
        </is>
      </c>
      <c r="D23" s="14" t="n">
        <v>0</v>
      </c>
      <c r="E23" s="49" t="inlineStr">
        <is>
          <t/>
        </is>
      </c>
      <c r="F23" s="13">
        <v>45853.0</v>
      </c>
      <c r="G23" s="13" t="inlineStr">
        <is>
          <t/>
        </is>
      </c>
      <c r="H23" s="13">
        <v>39545.0</v>
      </c>
      <c r="I23" s="14" t="n">
        <v>17</v>
      </c>
      <c r="J23" s="24" t="inlineStr">
        <is>
          <t>16-20</t>
        </is>
      </c>
      <c r="K23" s="25" t="inlineStr">
        <is>
          <t>Apprenti</t>
        </is>
      </c>
      <c r="L23" s="26" t="n">
        <v>150</v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/>
        </is>
      </c>
      <c r="Q23" s="14" t="inlineStr">
        <is>
          <t/>
        </is>
      </c>
      <c r="R23" s="14" t="inlineStr">
        <is>
          <t/>
        </is>
      </c>
      <c r="S23" s="14"/>
      <c r="T23" s="14" t="inlineStr">
        <is>
          <t>53 Rue Paul Obry, Blendecques, France</t>
        </is>
      </c>
      <c r="U23" s="14" t="inlineStr">
        <is>
          <t/>
        </is>
      </c>
      <c r="V23" s="14" t="inlineStr">
        <is>
          <t>53 rue paul obry 62575 blendecques</t>
        </is>
      </c>
      <c r="W23" s="27" t="inlineStr">
        <is>
          <t>39H (35h+17H33) sauf au CFA 35H</t>
        </is>
      </c>
      <c r="X23" s="14" t="inlineStr">
        <is>
          <t/>
        </is>
      </c>
    </row>
    <row customHeight="1" ht="20" r="24">
      <c r="A24" s="0" t="inlineStr">
        <is>
          <t/>
        </is>
      </c>
      <c r="B24" s="0" t="inlineStr">
        <is>
          <t/>
        </is>
      </c>
      <c r="C24" s="0" t="inlineStr">
        <is>
          <t/>
        </is>
      </c>
      <c r="D24" s="52" t="n">
        <v>6.8</v>
      </c>
      <c r="E24" s="0" t="inlineStr">
        <is>
          <t/>
        </is>
      </c>
      <c r="F24" s="52" t="inlineStr">
        <is>
          <t>1997-12-11 au 2025-07-15</t>
        </is>
      </c>
      <c r="G24" s="52" t="inlineStr">
        <is>
          <t>2025-03-07 au 2027-06-30</t>
        </is>
      </c>
      <c r="H24" s="52" t="inlineStr">
        <is>
          <t>1964-02-11 au 2008-06-16</t>
        </is>
      </c>
      <c r="I24" s="52" t="n">
        <v>40.5</v>
      </c>
      <c r="J24" s="0" t="inlineStr">
        <is>
          <t/>
        </is>
      </c>
      <c r="K24" s="0" t="inlineStr">
        <is>
          <t/>
        </is>
      </c>
      <c r="L24" s="0" t="inlineStr">
        <is>
          <t/>
        </is>
      </c>
      <c r="M24" s="52" t="str">
        <f>AVERAGE(M4:M23)</f>
      </c>
      <c r="N24" s="52" t="str">
        <f>AVERAGE(N4:N23)</f>
      </c>
      <c r="O24" s="52" t="str">
        <f>AVERAGE(O4:O23)</f>
      </c>
      <c r="P24" s="52" t="str">
        <f>AVERAGE(P4:P23)</f>
      </c>
      <c r="Q24" s="52" t="str">
        <f>AVERAGE(Q4:Q23)</f>
      </c>
      <c r="R24" s="52" t="str">
        <f>AVERAGE(R4:R23)</f>
      </c>
      <c r="S24" s="52" t="n">
        <v>3.7015309103999994</v>
      </c>
      <c r="T24" s="0" t="inlineStr">
        <is>
          <t/>
        </is>
      </c>
      <c r="U24" s="0" t="inlineStr">
        <is>
          <t/>
        </is>
      </c>
      <c r="V24" s="0" t="inlineStr">
        <is>
          <t/>
        </is>
      </c>
      <c r="W24" s="0" t="inlineStr">
        <is>
          <t/>
        </is>
      </c>
      <c r="X24" s="52" t="str">
        <f>SUM(X4:X23)</f>
      </c>
    </row>
    <row customHeight="1" ht="40" r="25"/>
    <row customHeight="1" ht="20" r="26">
      <c r="A26" s="53" t="inlineStr">
        <is>
          <t>Sortis</t>
        </is>
      </c>
    </row>
    <row customHeight="1" ht="20" r="27">
      <c r="A27" s="7" t="inlineStr">
        <is>
          <t>Name</t>
        </is>
      </c>
      <c r="B27" s="6" t="inlineStr">
        <is>
          <t>Sous-éléments</t>
        </is>
      </c>
      <c r="C27" s="6" t="inlineStr">
        <is>
          <t>Emploi</t>
        </is>
      </c>
      <c r="D27" s="6" t="inlineStr">
        <is>
          <t>Ancienneté</t>
        </is>
      </c>
      <c r="E27" s="6" t="inlineStr">
        <is>
          <t>Niveau d'études</t>
        </is>
      </c>
      <c r="F27" s="6" t="inlineStr">
        <is>
          <t>Date Entrée</t>
        </is>
      </c>
      <c r="G27" s="6" t="inlineStr">
        <is>
          <t>Date Sortie</t>
        </is>
      </c>
      <c r="H27" s="6" t="inlineStr">
        <is>
          <t>Date Naissance</t>
        </is>
      </c>
      <c r="I27" s="6" t="inlineStr">
        <is>
          <t>AGE</t>
        </is>
      </c>
      <c r="J27" s="6" t="inlineStr">
        <is>
          <t>Tranche âge</t>
        </is>
      </c>
      <c r="K27" s="6" t="inlineStr">
        <is>
          <t>Qualif</t>
        </is>
      </c>
      <c r="L27" s="6" t="inlineStr">
        <is>
          <t>Coef</t>
        </is>
      </c>
      <c r="M27" s="6" t="inlineStr">
        <is>
          <t>Th 2025</t>
        </is>
      </c>
      <c r="N27" s="6" t="inlineStr">
        <is>
          <t>Th 2024</t>
        </is>
      </c>
      <c r="O27" s="6" t="inlineStr">
        <is>
          <t>Th 2023</t>
        </is>
      </c>
      <c r="P27" s="6" t="inlineStr">
        <is>
          <t>Th2022</t>
        </is>
      </c>
      <c r="Q27" s="6" t="inlineStr">
        <is>
          <t>Th2021</t>
        </is>
      </c>
      <c r="R27" s="6" t="inlineStr">
        <is>
          <t>Th2020</t>
        </is>
      </c>
      <c r="S27" s="6" t="inlineStr">
        <is>
          <t>Augmentation</t>
        </is>
      </c>
      <c r="T27" s="6" t="inlineStr">
        <is>
          <t>Lieu</t>
        </is>
      </c>
      <c r="U27" s="6" t="inlineStr">
        <is>
          <t>Mutuelle</t>
        </is>
      </c>
      <c r="V27" s="6" t="inlineStr">
        <is>
          <t>Adresse</t>
        </is>
      </c>
      <c r="W27" s="6" t="inlineStr">
        <is>
          <t>Contrat</t>
        </is>
      </c>
      <c r="X27" s="6" t="inlineStr">
        <is>
          <t>Cout mutuelle salarié paie novembre</t>
        </is>
      </c>
    </row>
    <row customHeight="1" ht="20" r="28">
      <c r="A28" s="3" t="inlineStr">
        <is>
          <t>COULLE Alexandre</t>
        </is>
      </c>
      <c r="B28" s="14" t="inlineStr">
        <is>
          <t/>
        </is>
      </c>
      <c r="C28" s="34" t="inlineStr">
        <is>
          <t>Menuisier polyvalent</t>
        </is>
      </c>
      <c r="D28" s="14" t="n">
        <v>1</v>
      </c>
      <c r="E28" s="49" t="inlineStr">
        <is>
          <t/>
        </is>
      </c>
      <c r="F28" s="13">
        <v>45551.0</v>
      </c>
      <c r="G28" s="13" t="inlineStr">
        <is>
          <t/>
        </is>
      </c>
      <c r="H28" s="13">
        <v>30175.0</v>
      </c>
      <c r="I28" s="14" t="n">
        <v>43</v>
      </c>
      <c r="J28" s="18" t="inlineStr">
        <is>
          <t>40-45</t>
        </is>
      </c>
      <c r="K28" s="46" t="inlineStr">
        <is>
          <t>N2 P1 C185</t>
        </is>
      </c>
      <c r="L28" s="47" t="n">
        <v>185</v>
      </c>
      <c r="M28" s="14" t="n">
        <v>12.725</v>
      </c>
      <c r="N28" s="14" t="n">
        <v>12.4547</v>
      </c>
      <c r="O28" s="14" t="inlineStr">
        <is>
          <t/>
        </is>
      </c>
      <c r="P28" s="14" t="inlineStr">
        <is>
          <t/>
        </is>
      </c>
      <c r="Q28" s="14" t="inlineStr">
        <is>
          <t/>
        </is>
      </c>
      <c r="R28" s="14" t="inlineStr">
        <is>
          <t/>
        </is>
      </c>
      <c r="S28" s="14"/>
      <c r="T28" s="14" t="inlineStr">
        <is>
          <t>4 Rue des Bouleaux, Essars, France</t>
        </is>
      </c>
      <c r="U28" s="14" t="inlineStr">
        <is>
          <t>Famille</t>
        </is>
      </c>
      <c r="V28" s="14" t="inlineStr">
        <is>
          <t>4 RUE DES BOULEAUX 62400 ESSARS</t>
        </is>
      </c>
      <c r="W28" s="21" t="inlineStr">
        <is>
          <t>39H (35h+17H33)</t>
        </is>
      </c>
      <c r="X28" s="14" t="inlineStr">
        <is>
          <t/>
        </is>
      </c>
    </row>
    <row customHeight="1" ht="20" r="29">
      <c r="A29" s="3" t="inlineStr">
        <is>
          <t>BEAUGRAND Antoire</t>
        </is>
      </c>
      <c r="B29" s="14" t="inlineStr">
        <is>
          <t/>
        </is>
      </c>
      <c r="C29" s="34" t="inlineStr">
        <is>
          <t>Menuisier polyvalent</t>
        </is>
      </c>
      <c r="D29" s="14" t="n">
        <v>2</v>
      </c>
      <c r="E29" s="54" t="inlineStr">
        <is>
          <t>BP</t>
        </is>
      </c>
      <c r="F29" s="13">
        <v>45173.0</v>
      </c>
      <c r="G29" s="13">
        <v>45390.0</v>
      </c>
      <c r="H29" s="13">
        <v>34387.0</v>
      </c>
      <c r="I29" s="14" t="n">
        <v>31</v>
      </c>
      <c r="J29" s="36" t="inlineStr">
        <is>
          <t>25-30</t>
        </is>
      </c>
      <c r="K29" s="37" t="inlineStr">
        <is>
          <t>N3 P1 C210</t>
        </is>
      </c>
      <c r="L29" s="38" t="n">
        <v>210</v>
      </c>
      <c r="M29" s="14" t="n">
        <v>13.45</v>
      </c>
      <c r="N29" s="14" t="n">
        <v>13.45</v>
      </c>
      <c r="O29" s="14" t="n">
        <v>13.18</v>
      </c>
      <c r="P29" s="14" t="n">
        <v>0</v>
      </c>
      <c r="Q29" s="14" t="inlineStr">
        <is>
          <t/>
        </is>
      </c>
      <c r="R29" s="14" t="inlineStr">
        <is>
          <t/>
        </is>
      </c>
      <c r="S29" s="14" t="n">
        <v>2.0485584219</v>
      </c>
      <c r="T29" s="14" t="inlineStr">
        <is>
          <t>19 Rue du Smetz, Campagne-lès-Wardrecques, France</t>
        </is>
      </c>
      <c r="U29" s="14" t="inlineStr">
        <is>
          <t>Seul</t>
        </is>
      </c>
      <c r="V29" s="14" t="inlineStr">
        <is>
          <t>19 rue du smetz - 62120 CAMPAGNE LES WARDRECQUES</t>
        </is>
      </c>
      <c r="W29" s="21" t="inlineStr">
        <is>
          <t>39H (35h+17H33)</t>
        </is>
      </c>
      <c r="X29" s="14" t="n">
        <v>34.09</v>
      </c>
    </row>
    <row customHeight="1" ht="20" r="30">
      <c r="A30" s="3" t="inlineStr">
        <is>
          <t>CLABAULT Killian</t>
        </is>
      </c>
      <c r="B30" s="14" t="inlineStr">
        <is>
          <t/>
        </is>
      </c>
      <c r="C30" s="34" t="inlineStr">
        <is>
          <t>Menuisier polyvalent</t>
        </is>
      </c>
      <c r="D30" s="14" t="n">
        <v>2</v>
      </c>
      <c r="E30" s="49" t="inlineStr">
        <is>
          <t/>
        </is>
      </c>
      <c r="F30" s="13">
        <v>44935.0</v>
      </c>
      <c r="G30" s="13">
        <v>45115.0</v>
      </c>
      <c r="H30" s="13">
        <v>36870.0</v>
      </c>
      <c r="I30" s="14" t="n">
        <v>25</v>
      </c>
      <c r="J30" s="45" t="inlineStr">
        <is>
          <t>20-25</t>
        </is>
      </c>
      <c r="K30" s="46" t="inlineStr">
        <is>
          <t>N2 P1 C185</t>
        </is>
      </c>
      <c r="L30" s="47" t="n">
        <v>185</v>
      </c>
      <c r="M30" s="14" t="n">
        <v>11.868</v>
      </c>
      <c r="N30" s="14" t="n">
        <v>11.868</v>
      </c>
      <c r="O30" s="14" t="n">
        <v>11.868</v>
      </c>
      <c r="P30" s="14" t="inlineStr">
        <is>
          <t/>
        </is>
      </c>
      <c r="Q30" s="14" t="inlineStr">
        <is>
          <t/>
        </is>
      </c>
      <c r="R30" s="14" t="inlineStr">
        <is>
          <t/>
        </is>
      </c>
      <c r="S30" s="14" t="n">
        <v>0</v>
      </c>
      <c r="T30" s="14" t="inlineStr">
        <is>
          <t/>
        </is>
      </c>
      <c r="U30" s="14" t="inlineStr">
        <is>
          <t/>
        </is>
      </c>
      <c r="V30" s="14" t="inlineStr">
        <is>
          <t/>
        </is>
      </c>
      <c r="W30" s="55"/>
      <c r="X30" s="14" t="inlineStr">
        <is>
          <t/>
        </is>
      </c>
    </row>
    <row customHeight="1" ht="20" r="31">
      <c r="A31" s="3" t="inlineStr">
        <is>
          <t>HOCHART Rémy</t>
        </is>
      </c>
      <c r="B31" s="14" t="inlineStr">
        <is>
          <t/>
        </is>
      </c>
      <c r="C31" s="16" t="inlineStr">
        <is>
          <t>Chef d'équipe</t>
        </is>
      </c>
      <c r="D31" s="14" t="n">
        <v>4</v>
      </c>
      <c r="E31" s="56" t="inlineStr">
        <is>
          <t>CAP INSTALLATEUR THERMIQUE</t>
        </is>
      </c>
      <c r="F31" s="13">
        <v>44340.0</v>
      </c>
      <c r="G31" s="13">
        <v>45331.0</v>
      </c>
      <c r="H31" s="13">
        <v>32452.0</v>
      </c>
      <c r="I31" s="14" t="n">
        <v>37</v>
      </c>
      <c r="J31" s="48" t="inlineStr">
        <is>
          <t>35-40</t>
        </is>
      </c>
      <c r="K31" s="31" t="inlineStr">
        <is>
          <t>N4 P1 C250</t>
        </is>
      </c>
      <c r="L31" s="32" t="n">
        <v>250</v>
      </c>
      <c r="M31" s="14" t="n">
        <v>15.791</v>
      </c>
      <c r="N31" s="14" t="n">
        <v>15.791</v>
      </c>
      <c r="O31" s="14" t="n">
        <v>15.461</v>
      </c>
      <c r="P31" s="14" t="n">
        <v>14.682</v>
      </c>
      <c r="Q31" s="14" t="n">
        <v>14.324</v>
      </c>
      <c r="R31" s="14" t="n">
        <v>14.324</v>
      </c>
      <c r="S31" s="14" t="n">
        <v>2.1344026906</v>
      </c>
      <c r="T31" s="14" t="inlineStr">
        <is>
          <t>34 Rue de la Mairie, 62890 Nordausques, France</t>
        </is>
      </c>
      <c r="U31" s="14" t="inlineStr">
        <is>
          <t>Famille</t>
        </is>
      </c>
      <c r="V31" s="14" t="inlineStr">
        <is>
          <t>34 Rue de la mairie 62890 NORDAUSQUES</t>
        </is>
      </c>
      <c r="W31" s="21" t="inlineStr">
        <is>
          <t>39H (35h+17H33)</t>
        </is>
      </c>
      <c r="X31" s="14" t="n">
        <v>71.21</v>
      </c>
    </row>
    <row customHeight="1" ht="20" r="32">
      <c r="A32" s="3" t="inlineStr">
        <is>
          <t>POTIER Mathys</t>
        </is>
      </c>
      <c r="B32" s="14" t="inlineStr">
        <is>
          <t/>
        </is>
      </c>
      <c r="C32" s="22" t="inlineStr">
        <is>
          <t>Apprenti menuisier</t>
        </is>
      </c>
      <c r="D32" s="14" t="n">
        <v>1</v>
      </c>
      <c r="E32" s="49" t="inlineStr">
        <is>
          <t/>
        </is>
      </c>
      <c r="F32" s="13">
        <v>45544.0</v>
      </c>
      <c r="G32" s="13">
        <v>45625.0</v>
      </c>
      <c r="H32" s="13" t="inlineStr">
        <is>
          <t/>
        </is>
      </c>
      <c r="I32" s="14"/>
      <c r="J32" s="24" t="inlineStr">
        <is>
          <t>16-20</t>
        </is>
      </c>
      <c r="K32" s="25" t="inlineStr">
        <is>
          <t>Apprenti</t>
        </is>
      </c>
      <c r="L32" s="26" t="n">
        <v>150</v>
      </c>
      <c r="M32" s="14" t="inlineStr">
        <is>
          <t/>
        </is>
      </c>
      <c r="N32" s="14" t="inlineStr">
        <is>
          <t/>
        </is>
      </c>
      <c r="O32" s="14" t="inlineStr">
        <is>
          <t/>
        </is>
      </c>
      <c r="P32" s="14" t="inlineStr">
        <is>
          <t/>
        </is>
      </c>
      <c r="Q32" s="14" t="inlineStr">
        <is>
          <t/>
        </is>
      </c>
      <c r="R32" s="14" t="inlineStr">
        <is>
          <t/>
        </is>
      </c>
      <c r="S32" s="14"/>
      <c r="T32" s="14" t="inlineStr">
        <is>
          <t>19 Rue Louis Blériot, Longuenesse, France</t>
        </is>
      </c>
      <c r="U32" s="14" t="inlineStr">
        <is>
          <t>Parent</t>
        </is>
      </c>
      <c r="V32" s="14" t="inlineStr">
        <is>
          <t>19 rue Louis Blériot 62219 LONGUENESSE</t>
        </is>
      </c>
      <c r="W32" s="27" t="inlineStr">
        <is>
          <t>39H (35h+17H33) sauf au CFA 35H</t>
        </is>
      </c>
      <c r="X32" s="14" t="inlineStr">
        <is>
          <t/>
        </is>
      </c>
    </row>
    <row customHeight="1" ht="20" r="33">
      <c r="A33" s="3" t="inlineStr">
        <is>
          <t>DAUSSE Gordon</t>
        </is>
      </c>
      <c r="B33" s="14" t="inlineStr">
        <is>
          <t/>
        </is>
      </c>
      <c r="C33" s="16" t="inlineStr">
        <is>
          <t>Chef d'équipe</t>
        </is>
      </c>
      <c r="D33" s="14" t="n">
        <v>5</v>
      </c>
      <c r="E33" s="49" t="inlineStr">
        <is>
          <t/>
        </is>
      </c>
      <c r="F33" s="13">
        <v>44123.0</v>
      </c>
      <c r="G33" s="13">
        <v>45044.0</v>
      </c>
      <c r="H33" s="13">
        <v>28292.0</v>
      </c>
      <c r="I33" s="14" t="n">
        <v>48</v>
      </c>
      <c r="J33" s="40" t="inlineStr">
        <is>
          <t>45-50</t>
        </is>
      </c>
      <c r="K33" s="31" t="inlineStr">
        <is>
          <t>N4 P1 C250</t>
        </is>
      </c>
      <c r="L33" s="32" t="n">
        <v>250</v>
      </c>
      <c r="M33" s="14" t="n">
        <v>15.461</v>
      </c>
      <c r="N33" s="14" t="n">
        <v>15.461</v>
      </c>
      <c r="O33" s="14" t="n">
        <v>15.461</v>
      </c>
      <c r="P33" s="14" t="n">
        <v>14.682</v>
      </c>
      <c r="Q33" s="14" t="n">
        <v>14.324</v>
      </c>
      <c r="R33" s="14" t="n">
        <v>14.324</v>
      </c>
      <c r="S33" s="14" t="n">
        <v>0</v>
      </c>
      <c r="T33" s="14" t="inlineStr">
        <is>
          <t/>
        </is>
      </c>
      <c r="U33" s="14" t="inlineStr">
        <is>
          <t/>
        </is>
      </c>
      <c r="V33" s="14" t="inlineStr">
        <is>
          <t>33, rue du Four - 62310 FRUGES</t>
        </is>
      </c>
      <c r="W33" s="21" t="inlineStr">
        <is>
          <t>39H (35h+17H33)</t>
        </is>
      </c>
      <c r="X33" s="14" t="inlineStr">
        <is>
          <t/>
        </is>
      </c>
    </row>
    <row customHeight="1" ht="20" r="34">
      <c r="A34" s="3" t="inlineStr">
        <is>
          <t>DELISSEN Philippe</t>
        </is>
      </c>
      <c r="B34" s="14" t="inlineStr">
        <is>
          <t/>
        </is>
      </c>
      <c r="C34" s="16" t="inlineStr">
        <is>
          <t>Chef d'équipe</t>
        </is>
      </c>
      <c r="D34" s="14" t="n">
        <v>6</v>
      </c>
      <c r="E34" s="49" t="inlineStr">
        <is>
          <t/>
        </is>
      </c>
      <c r="F34" s="13">
        <v>43566.0</v>
      </c>
      <c r="G34" s="13" t="inlineStr">
        <is>
          <t/>
        </is>
      </c>
      <c r="H34" s="13">
        <v>29155.0</v>
      </c>
      <c r="I34" s="14" t="n">
        <v>46</v>
      </c>
      <c r="J34" s="40" t="inlineStr">
        <is>
          <t>45-50</t>
        </is>
      </c>
      <c r="K34" s="41" t="inlineStr">
        <is>
          <t>N4 P2 C270</t>
        </is>
      </c>
      <c r="L34" s="42" t="n">
        <v>270</v>
      </c>
      <c r="M34" s="14" t="n">
        <v>16.622</v>
      </c>
      <c r="N34" s="14" t="n">
        <v>16.622</v>
      </c>
      <c r="O34" s="14" t="n">
        <v>16.622</v>
      </c>
      <c r="P34" s="14" t="n">
        <v>15.759</v>
      </c>
      <c r="Q34" s="14" t="n">
        <v>15.375</v>
      </c>
      <c r="R34" s="14" t="n">
        <v>15.375</v>
      </c>
      <c r="S34" s="14" t="n">
        <v>0</v>
      </c>
      <c r="T34" s="14" t="inlineStr">
        <is>
          <t/>
        </is>
      </c>
      <c r="U34" s="14" t="inlineStr">
        <is>
          <t/>
        </is>
      </c>
      <c r="V34" s="14" t="inlineStr">
        <is>
          <t>1 bis r de l'Église - 62560 AVROULT</t>
        </is>
      </c>
      <c r="W34" s="21" t="inlineStr">
        <is>
          <t>39H (35h+17H33)</t>
        </is>
      </c>
      <c r="X34" s="14" t="inlineStr">
        <is>
          <t/>
        </is>
      </c>
    </row>
    <row customHeight="1" ht="20" r="35">
      <c r="A35" s="3" t="inlineStr">
        <is>
          <t>LEGAULT Quentin</t>
        </is>
      </c>
      <c r="B35" s="14" t="inlineStr">
        <is>
          <t/>
        </is>
      </c>
      <c r="C35" s="57" t="inlineStr">
        <is>
          <t>Aide Menuisier</t>
        </is>
      </c>
      <c r="D35" s="14" t="n">
        <v>4</v>
      </c>
      <c r="E35" s="49" t="inlineStr">
        <is>
          <t/>
        </is>
      </c>
      <c r="F35" s="13">
        <v>44348.0</v>
      </c>
      <c r="G35" s="13">
        <v>37093.0</v>
      </c>
      <c r="H35" s="13" t="inlineStr">
        <is>
          <t/>
        </is>
      </c>
      <c r="I35" s="14"/>
      <c r="J35" s="45" t="inlineStr">
        <is>
          <t>20-25</t>
        </is>
      </c>
      <c r="K35" s="50" t="inlineStr">
        <is>
          <t>N1 P2 C170</t>
        </is>
      </c>
      <c r="L35" s="51" t="n">
        <v>170</v>
      </c>
      <c r="M35" s="14" t="n">
        <v>11.571</v>
      </c>
      <c r="N35" s="14" t="n">
        <v>11.571</v>
      </c>
      <c r="O35" s="14" t="n">
        <v>11.571</v>
      </c>
      <c r="P35" s="14" t="n">
        <v>11.07</v>
      </c>
      <c r="Q35" s="14" t="n">
        <v>10.426</v>
      </c>
      <c r="R35" s="14" t="inlineStr">
        <is>
          <t/>
        </is>
      </c>
      <c r="S35" s="14" t="n">
        <v>0</v>
      </c>
      <c r="T35" s="14" t="inlineStr">
        <is>
          <t/>
        </is>
      </c>
      <c r="U35" s="14" t="inlineStr">
        <is>
          <t/>
        </is>
      </c>
      <c r="V35" s="14" t="inlineStr">
        <is>
          <t/>
        </is>
      </c>
      <c r="W35" s="55"/>
      <c r="X35" s="14" t="inlineStr">
        <is>
          <t/>
        </is>
      </c>
    </row>
    <row customHeight="1" ht="20" r="36">
      <c r="A36" s="3" t="inlineStr">
        <is>
          <t>SAINT POL Bastien</t>
        </is>
      </c>
      <c r="B36" s="14" t="inlineStr">
        <is>
          <t/>
        </is>
      </c>
      <c r="C36" s="22" t="inlineStr">
        <is>
          <t>Apprenti menuisier</t>
        </is>
      </c>
      <c r="D36" s="14" t="n">
        <v>3</v>
      </c>
      <c r="E36" s="49" t="inlineStr">
        <is>
          <t/>
        </is>
      </c>
      <c r="F36" s="13">
        <v>44742.0</v>
      </c>
      <c r="G36" s="13">
        <v>45169.0</v>
      </c>
      <c r="H36" s="13">
        <v>39058.0</v>
      </c>
      <c r="I36" s="14" t="n">
        <v>19</v>
      </c>
      <c r="J36" s="24" t="inlineStr">
        <is>
          <t>16-20</t>
        </is>
      </c>
      <c r="K36" s="25" t="inlineStr">
        <is>
          <t>Apprenti</t>
        </is>
      </c>
      <c r="L36" s="26" t="n">
        <v>150</v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/>
        </is>
      </c>
      <c r="Q36" s="14" t="inlineStr">
        <is>
          <t/>
        </is>
      </c>
      <c r="R36" s="14" t="inlineStr">
        <is>
          <t/>
        </is>
      </c>
      <c r="S36" s="14"/>
      <c r="T36" s="14" t="inlineStr">
        <is>
          <t/>
        </is>
      </c>
      <c r="U36" s="14" t="inlineStr">
        <is>
          <t/>
        </is>
      </c>
      <c r="V36" s="14" t="inlineStr">
        <is>
          <t/>
        </is>
      </c>
      <c r="W36" s="27" t="inlineStr">
        <is>
          <t>39H (35h+17H33) sauf au CFA 35H</t>
        </is>
      </c>
      <c r="X36" s="14" t="inlineStr">
        <is>
          <t/>
        </is>
      </c>
    </row>
    <row customHeight="1" ht="20" r="37">
      <c r="A37" s="3" t="inlineStr">
        <is>
          <t>FOURNIER Mattthieu</t>
        </is>
      </c>
      <c r="B37" s="14" t="inlineStr">
        <is>
          <t/>
        </is>
      </c>
      <c r="C37" s="34" t="inlineStr">
        <is>
          <t>Menuisier polyvalent</t>
        </is>
      </c>
      <c r="D37" s="14" t="n">
        <v>2</v>
      </c>
      <c r="E37" s="33" t="inlineStr">
        <is>
          <t>CAP MENUISIER INSTALLATEUR</t>
        </is>
      </c>
      <c r="F37" s="13">
        <v>45110.0</v>
      </c>
      <c r="G37" s="13">
        <v>45351.0</v>
      </c>
      <c r="H37" s="13">
        <v>37854.0</v>
      </c>
      <c r="I37" s="14" t="n">
        <v>22</v>
      </c>
      <c r="J37" s="45" t="inlineStr">
        <is>
          <t>20-25</t>
        </is>
      </c>
      <c r="K37" s="50" t="inlineStr">
        <is>
          <t>N1 P2 C170</t>
        </is>
      </c>
      <c r="L37" s="51" t="n">
        <v>170</v>
      </c>
      <c r="M37" s="14" t="n">
        <v>11.888</v>
      </c>
      <c r="N37" s="14" t="n">
        <v>11.888</v>
      </c>
      <c r="O37" s="14" t="n">
        <v>11.868</v>
      </c>
      <c r="P37" s="14" t="inlineStr">
        <is>
          <t/>
        </is>
      </c>
      <c r="Q37" s="14" t="inlineStr">
        <is>
          <t/>
        </is>
      </c>
      <c r="R37" s="14" t="inlineStr">
        <is>
          <t/>
        </is>
      </c>
      <c r="S37" s="14" t="n">
        <v>0.168520391</v>
      </c>
      <c r="T37" s="14" t="inlineStr">
        <is>
          <t>102 RUE DE LAMBRES 62120 QUERNES</t>
        </is>
      </c>
      <c r="U37" s="14" t="inlineStr">
        <is>
          <t>Seul</t>
        </is>
      </c>
      <c r="V37" s="14" t="inlineStr">
        <is>
          <t>102 RUE DE LAMBRES 62120 QUERNES</t>
        </is>
      </c>
      <c r="W37" s="21" t="inlineStr">
        <is>
          <t>39H (35h+17H33)</t>
        </is>
      </c>
      <c r="X37" s="14" t="n">
        <v>33.02</v>
      </c>
    </row>
    <row customHeight="1" ht="20" r="38">
      <c r="A38" s="3" t="inlineStr">
        <is>
          <t>LEGAULT Rudy</t>
        </is>
      </c>
      <c r="B38" s="14" t="inlineStr">
        <is>
          <t/>
        </is>
      </c>
      <c r="C38" s="57" t="inlineStr">
        <is>
          <t>Aide Menuisier</t>
        </is>
      </c>
      <c r="D38" s="14" t="n">
        <v>4</v>
      </c>
      <c r="E38" s="49" t="inlineStr">
        <is>
          <t/>
        </is>
      </c>
      <c r="F38" s="13">
        <v>44249.0</v>
      </c>
      <c r="G38" s="13">
        <v>45265.0</v>
      </c>
      <c r="H38" s="13">
        <v>29037.0</v>
      </c>
      <c r="I38" s="14" t="n">
        <v>46</v>
      </c>
      <c r="J38" s="18" t="inlineStr">
        <is>
          <t>40-45</t>
        </is>
      </c>
      <c r="K38" s="50" t="inlineStr">
        <is>
          <t>N1 P2 C170</t>
        </is>
      </c>
      <c r="L38" s="51" t="n">
        <v>170</v>
      </c>
      <c r="M38" s="14" t="n">
        <v>11.571</v>
      </c>
      <c r="N38" s="14" t="n">
        <v>11.571</v>
      </c>
      <c r="O38" s="14" t="n">
        <v>11.571</v>
      </c>
      <c r="P38" s="14" t="n">
        <v>11.07</v>
      </c>
      <c r="Q38" s="14" t="n">
        <v>10.426</v>
      </c>
      <c r="R38" s="14" t="n">
        <v>10.426</v>
      </c>
      <c r="S38" s="14" t="n">
        <v>0</v>
      </c>
      <c r="T38" s="14" t="inlineStr">
        <is>
          <t>15 Rue Michel Dard, Aire-sur-la-Lys, France</t>
        </is>
      </c>
      <c r="U38" s="14" t="inlineStr">
        <is>
          <t/>
        </is>
      </c>
      <c r="V38" s="14" t="inlineStr">
        <is>
          <t>15 rue michel dard, aire sur la lys</t>
        </is>
      </c>
      <c r="W38" s="21" t="inlineStr">
        <is>
          <t>39H (35h+17H33)</t>
        </is>
      </c>
      <c r="X38" s="14" t="inlineStr">
        <is>
          <t/>
        </is>
      </c>
    </row>
    <row customHeight="1" ht="20" r="39">
      <c r="A39" s="3" t="inlineStr">
        <is>
          <t>LESEIGNEUR Laurent</t>
        </is>
      </c>
      <c r="B39" s="14" t="inlineStr">
        <is>
          <t/>
        </is>
      </c>
      <c r="C39" s="34" t="inlineStr">
        <is>
          <t>Menuisier polyvalent</t>
        </is>
      </c>
      <c r="D39" s="14" t="n">
        <v>1</v>
      </c>
      <c r="E39" s="29" t="inlineStr">
        <is>
          <t>CAP MENUISIER FABRICANT</t>
        </is>
      </c>
      <c r="F39" s="13">
        <v>45439.0</v>
      </c>
      <c r="G39" s="13">
        <v>45450.0</v>
      </c>
      <c r="H39" s="13">
        <v>28363.0</v>
      </c>
      <c r="I39" s="14" t="n">
        <v>48</v>
      </c>
      <c r="J39" s="40" t="inlineStr">
        <is>
          <t>45-50</t>
        </is>
      </c>
      <c r="K39" s="31" t="inlineStr">
        <is>
          <t>N4 P1 C250</t>
        </is>
      </c>
      <c r="L39" s="32" t="n">
        <v>250</v>
      </c>
      <c r="M39" s="14" t="n">
        <v>15.7901</v>
      </c>
      <c r="N39" s="14" t="n">
        <v>15.7901</v>
      </c>
      <c r="O39" s="14" t="inlineStr">
        <is>
          <t/>
        </is>
      </c>
      <c r="P39" s="14" t="inlineStr">
        <is>
          <t/>
        </is>
      </c>
      <c r="Q39" s="14" t="inlineStr">
        <is>
          <t/>
        </is>
      </c>
      <c r="R39" s="14" t="inlineStr">
        <is>
          <t/>
        </is>
      </c>
      <c r="S39" s="14"/>
      <c r="T39" s="14" t="inlineStr">
        <is>
          <t>85 Rue principale 62190 LILLERS</t>
        </is>
      </c>
      <c r="U39" s="14" t="inlineStr">
        <is>
          <t>Famille</t>
        </is>
      </c>
      <c r="V39" s="14" t="inlineStr">
        <is>
          <t>85 rue principale 62190 LILLERS</t>
        </is>
      </c>
      <c r="W39" s="21" t="inlineStr">
        <is>
          <t>39H (35h+17H33)</t>
        </is>
      </c>
      <c r="X39" s="14" t="inlineStr">
        <is>
          <t/>
        </is>
      </c>
    </row>
    <row customHeight="1" ht="20" r="40">
      <c r="A40" s="3" t="inlineStr">
        <is>
          <t>GALLET Frédéric</t>
        </is>
      </c>
      <c r="B40" s="14" t="inlineStr">
        <is>
          <t/>
        </is>
      </c>
      <c r="C40" s="34" t="inlineStr">
        <is>
          <t>Menuisier polyvalent</t>
        </is>
      </c>
      <c r="D40" s="14" t="n">
        <v>0</v>
      </c>
      <c r="E40" s="58" t="inlineStr">
        <is>
          <t>CAP électrotechnique</t>
        </is>
      </c>
      <c r="F40" s="13">
        <v>45691.0</v>
      </c>
      <c r="G40" s="13">
        <v>45744.0</v>
      </c>
      <c r="H40" s="13">
        <v>32405.0</v>
      </c>
      <c r="I40" s="14" t="n">
        <v>37</v>
      </c>
      <c r="J40" s="48" t="inlineStr">
        <is>
          <t>35-40</t>
        </is>
      </c>
      <c r="K40" s="46" t="inlineStr">
        <is>
          <t>N2 P1 C185</t>
        </is>
      </c>
      <c r="L40" s="47" t="n">
        <v>185</v>
      </c>
      <c r="M40" s="14" t="n">
        <v>12.725</v>
      </c>
      <c r="N40" s="14" t="inlineStr">
        <is>
          <t/>
        </is>
      </c>
      <c r="O40" s="14" t="inlineStr">
        <is>
          <t/>
        </is>
      </c>
      <c r="P40" s="14" t="inlineStr">
        <is>
          <t/>
        </is>
      </c>
      <c r="Q40" s="14" t="inlineStr">
        <is>
          <t/>
        </is>
      </c>
      <c r="R40" s="14" t="inlineStr">
        <is>
          <t/>
        </is>
      </c>
      <c r="S40" s="14"/>
      <c r="T40" s="14" t="inlineStr">
        <is>
          <t/>
        </is>
      </c>
      <c r="U40" s="14" t="inlineStr">
        <is>
          <t/>
        </is>
      </c>
      <c r="V40" s="14" t="inlineStr">
        <is>
          <t/>
        </is>
      </c>
      <c r="W40" s="55"/>
      <c r="X40" s="14" t="inlineStr">
        <is>
          <t/>
        </is>
      </c>
    </row>
    <row customHeight="1" ht="20" r="41">
      <c r="A41" s="3" t="inlineStr">
        <is>
          <t>VANWALSCAPPEL Gilbert</t>
        </is>
      </c>
      <c r="B41" s="14" t="inlineStr">
        <is>
          <t/>
        </is>
      </c>
      <c r="C41" s="57" t="inlineStr">
        <is>
          <t>Aide Menuisier</t>
        </is>
      </c>
      <c r="D41" s="14" t="n">
        <v>3</v>
      </c>
      <c r="E41" s="33" t="inlineStr">
        <is>
          <t>CAP MENUISIER INSTALLATEUR</t>
        </is>
      </c>
      <c r="F41" s="13">
        <v>44823.0</v>
      </c>
      <c r="G41" s="13" t="inlineStr">
        <is>
          <t/>
        </is>
      </c>
      <c r="H41" s="13">
        <v>27365.0</v>
      </c>
      <c r="I41" s="14" t="n">
        <v>51</v>
      </c>
      <c r="J41" s="40" t="inlineStr">
        <is>
          <t>45-50</t>
        </is>
      </c>
      <c r="K41" s="59" t="inlineStr">
        <is>
          <t>N1 P1 C150</t>
        </is>
      </c>
      <c r="L41" s="26" t="n">
        <v>150</v>
      </c>
      <c r="M41" s="14" t="n">
        <v>11.782</v>
      </c>
      <c r="N41" s="14" t="n">
        <v>11.782</v>
      </c>
      <c r="O41" s="14" t="n">
        <v>11.571</v>
      </c>
      <c r="P41" s="14" t="n">
        <v>11.07</v>
      </c>
      <c r="Q41" s="14" t="n">
        <v>0</v>
      </c>
      <c r="R41" s="14" t="inlineStr">
        <is>
          <t/>
        </is>
      </c>
      <c r="S41" s="14" t="n">
        <v>1.8235243281</v>
      </c>
      <c r="T41" s="14" t="inlineStr">
        <is>
          <t>4 Rue brueghel 10 les coucous, 62500 saint omer</t>
        </is>
      </c>
      <c r="U41" s="14"/>
      <c r="V41" s="14" t="inlineStr">
        <is>
          <t>4 Rue brueghel 10 les coucous, 62500 saint omer</t>
        </is>
      </c>
      <c r="W41" s="21" t="inlineStr">
        <is>
          <t>39H (35h+17H33)</t>
        </is>
      </c>
      <c r="X41" s="14" t="n">
        <v>0</v>
      </c>
    </row>
    <row customHeight="1" ht="20" r="42">
      <c r="A42" s="3" t="inlineStr">
        <is>
          <t>MOCYDLARZ Paul</t>
        </is>
      </c>
      <c r="B42" s="14" t="inlineStr">
        <is>
          <t/>
        </is>
      </c>
      <c r="C42" s="34" t="inlineStr">
        <is>
          <t>Menuisier polyvalent</t>
        </is>
      </c>
      <c r="D42" s="14" t="n">
        <v>1</v>
      </c>
      <c r="E42" s="49" t="inlineStr">
        <is>
          <t/>
        </is>
      </c>
      <c r="F42" s="13">
        <v>45481.0</v>
      </c>
      <c r="G42" s="13">
        <v>45506.0</v>
      </c>
      <c r="H42" s="13">
        <v>36709.0</v>
      </c>
      <c r="I42" s="14" t="n">
        <v>25</v>
      </c>
      <c r="J42" s="45" t="inlineStr">
        <is>
          <t>20-25</t>
        </is>
      </c>
      <c r="K42" s="50" t="inlineStr">
        <is>
          <t>N1 P2 C170</t>
        </is>
      </c>
      <c r="L42" s="51" t="n">
        <v>170</v>
      </c>
      <c r="M42" s="14" t="n">
        <v>11.887</v>
      </c>
      <c r="N42" s="14" t="n">
        <v>11.887</v>
      </c>
      <c r="O42" s="14" t="inlineStr">
        <is>
          <t/>
        </is>
      </c>
      <c r="P42" s="14" t="inlineStr">
        <is>
          <t/>
        </is>
      </c>
      <c r="Q42" s="14" t="inlineStr">
        <is>
          <t/>
        </is>
      </c>
      <c r="R42" s="14" t="inlineStr">
        <is>
          <t/>
        </is>
      </c>
      <c r="S42" s="14"/>
      <c r="T42" s="14" t="inlineStr">
        <is>
          <t>16 rue maréchal leclerc 62310 FRUGES</t>
        </is>
      </c>
      <c r="U42" s="14" t="inlineStr">
        <is>
          <t/>
        </is>
      </c>
      <c r="V42" s="14" t="inlineStr">
        <is>
          <t>16 rue maréchal leclerc 62310 FRUGES</t>
        </is>
      </c>
      <c r="W42" s="21" t="inlineStr">
        <is>
          <t>39H (35h+17H33)</t>
        </is>
      </c>
      <c r="X42" s="14" t="inlineStr">
        <is>
          <t/>
        </is>
      </c>
    </row>
    <row customHeight="1" ht="20" r="43">
      <c r="A43" s="3" t="inlineStr">
        <is>
          <t>COTTE Quentin</t>
        </is>
      </c>
      <c r="B43" s="14" t="inlineStr">
        <is>
          <t/>
        </is>
      </c>
      <c r="C43" s="22" t="inlineStr">
        <is>
          <t>Apprenti menuisier</t>
        </is>
      </c>
      <c r="D43" s="14" t="n">
        <v>4</v>
      </c>
      <c r="E43" s="23" t="inlineStr">
        <is>
          <t>BEP MENUISIER</t>
        </is>
      </c>
      <c r="F43" s="13">
        <v>44249.0</v>
      </c>
      <c r="G43" s="13">
        <v>45596.0</v>
      </c>
      <c r="H43" s="13">
        <v>37709.0</v>
      </c>
      <c r="I43" s="14" t="n">
        <v>22</v>
      </c>
      <c r="J43" s="45" t="inlineStr">
        <is>
          <t>20-25</t>
        </is>
      </c>
      <c r="K43" s="25" t="inlineStr">
        <is>
          <t>Apprenti</t>
        </is>
      </c>
      <c r="L43" s="26" t="n">
        <v>150</v>
      </c>
      <c r="M43" s="14" t="n">
        <v>11.782</v>
      </c>
      <c r="N43" s="14" t="n">
        <v>11.782</v>
      </c>
      <c r="O43" s="14" t="n">
        <v>11.571</v>
      </c>
      <c r="P43" s="14" t="n">
        <v>11.07</v>
      </c>
      <c r="Q43" s="14" t="n">
        <v>10.426</v>
      </c>
      <c r="R43" s="14" t="inlineStr">
        <is>
          <t/>
        </is>
      </c>
      <c r="S43" s="14" t="n">
        <v>1.8235243281</v>
      </c>
      <c r="T43" s="14" t="inlineStr">
        <is>
          <t>9 Rue Principale, 62380 Dohem, France</t>
        </is>
      </c>
      <c r="U43" s="14" t="inlineStr">
        <is>
          <t>Parent</t>
        </is>
      </c>
      <c r="V43" s="14" t="inlineStr">
        <is>
          <t>9 rue Principale Hameau de maisnil 62380 DOHEM</t>
        </is>
      </c>
      <c r="W43" s="27" t="inlineStr">
        <is>
          <t>39H (35h+17H33) sauf au CFA 35H</t>
        </is>
      </c>
      <c r="X43" s="14" t="n">
        <v>0</v>
      </c>
    </row>
    <row customHeight="1" ht="20" r="44">
      <c r="A44" s="3" t="inlineStr">
        <is>
          <t>VASSEUR Grégory</t>
        </is>
      </c>
      <c r="B44" s="14" t="inlineStr">
        <is>
          <t/>
        </is>
      </c>
      <c r="C44" s="16" t="inlineStr">
        <is>
          <t>Chef d'équipe</t>
        </is>
      </c>
      <c r="D44" s="14" t="n">
        <v>1</v>
      </c>
      <c r="E44" s="33" t="inlineStr">
        <is>
          <t>CAP MENUISIER INSTALLATEUR</t>
        </is>
      </c>
      <c r="F44" s="13">
        <v>45558.0</v>
      </c>
      <c r="G44" s="13">
        <v>45870.0</v>
      </c>
      <c r="H44" s="13">
        <v>27785.0</v>
      </c>
      <c r="I44" s="14" t="n">
        <v>49</v>
      </c>
      <c r="J44" s="40" t="inlineStr">
        <is>
          <t>45-50</t>
        </is>
      </c>
      <c r="K44" s="19" t="inlineStr">
        <is>
          <t>N3 P2 C230</t>
        </is>
      </c>
      <c r="L44" s="20" t="n">
        <v>230</v>
      </c>
      <c r="M44" s="14" t="n">
        <v>14.769</v>
      </c>
      <c r="N44" s="14" t="n">
        <v>14.4788</v>
      </c>
      <c r="O44" s="14" t="inlineStr">
        <is>
          <t/>
        </is>
      </c>
      <c r="P44" s="14" t="inlineStr">
        <is>
          <t/>
        </is>
      </c>
      <c r="Q44" s="14" t="inlineStr">
        <is>
          <t/>
        </is>
      </c>
      <c r="R44" s="14" t="inlineStr">
        <is>
          <t/>
        </is>
      </c>
      <c r="S44" s="14"/>
      <c r="T44" s="14" t="inlineStr">
        <is>
          <t>12 rue Frédéric Vidor, Affringues, France</t>
        </is>
      </c>
      <c r="U44" s="14" t="inlineStr">
        <is>
          <t>Famille</t>
        </is>
      </c>
      <c r="V44" s="14" t="inlineStr">
        <is>
          <t>12 rue Frédéric vidor 62380 AFFRINGUES</t>
        </is>
      </c>
      <c r="W44" s="21" t="inlineStr">
        <is>
          <t>39H (35h+17H33)</t>
        </is>
      </c>
      <c r="X44" s="14" t="inlineStr">
        <is>
          <t/>
        </is>
      </c>
    </row>
    <row customHeight="1" ht="20" r="45">
      <c r="A45" s="0" t="inlineStr">
        <is>
          <t/>
        </is>
      </c>
      <c r="B45" s="0" t="inlineStr">
        <is>
          <t/>
        </is>
      </c>
      <c r="C45" s="0" t="inlineStr">
        <is>
          <t/>
        </is>
      </c>
      <c r="D45" s="52" t="n">
        <v>2.588235294117647</v>
      </c>
      <c r="E45" s="0" t="inlineStr">
        <is>
          <t/>
        </is>
      </c>
      <c r="F45" s="52" t="inlineStr">
        <is>
          <t>2019-04-11 au 2025-02-03</t>
        </is>
      </c>
      <c r="G45" s="52" t="inlineStr">
        <is>
          <t>2001-07-21 au 2025-08-01</t>
        </is>
      </c>
      <c r="H45" s="52" t="inlineStr">
        <is>
          <t>1974-12-02 au 2006-12-07</t>
        </is>
      </c>
      <c r="I45" s="52" t="n">
        <v>37</v>
      </c>
      <c r="J45" s="0" t="inlineStr">
        <is>
          <t/>
        </is>
      </c>
      <c r="K45" s="0" t="inlineStr">
        <is>
          <t/>
        </is>
      </c>
      <c r="L45" s="0" t="inlineStr">
        <is>
          <t/>
        </is>
      </c>
      <c r="M45" s="52" t="str">
        <f>AVERAGE(M28:M44)</f>
      </c>
      <c r="N45" s="52" t="str">
        <f>AVERAGE(N28:N44)</f>
      </c>
      <c r="O45" s="52" t="str">
        <f>AVERAGE(O28:O44)</f>
      </c>
      <c r="P45" s="52" t="str">
        <f>AVERAGE(P28:P44)</f>
      </c>
      <c r="Q45" s="52" t="str">
        <f>AVERAGE(Q28:Q44)</f>
      </c>
      <c r="R45" s="52" t="str">
        <f>AVERAGE(R28:R44)</f>
      </c>
      <c r="S45" s="52" t="n">
        <v>0.7998530159699999</v>
      </c>
      <c r="T45" s="0" t="inlineStr">
        <is>
          <t/>
        </is>
      </c>
      <c r="U45" s="0" t="inlineStr">
        <is>
          <t/>
        </is>
      </c>
      <c r="V45" s="0" t="inlineStr">
        <is>
          <t/>
        </is>
      </c>
      <c r="W45" s="0" t="inlineStr">
        <is>
          <t/>
        </is>
      </c>
      <c r="X45" s="52" t="str">
        <f>SUM(X28:X44)</f>
      </c>
    </row>
    <row customHeight="1" ht="40" r="46"/>
    <row customHeight="1" ht="20" r="47">
      <c r="A47" s="60" t="inlineStr">
        <is>
          <t>Titre du groupe</t>
        </is>
      </c>
    </row>
    <row customHeight="1" ht="20" r="48">
      <c r="A48" s="7" t="inlineStr">
        <is>
          <t>Name</t>
        </is>
      </c>
      <c r="B48" s="6" t="inlineStr">
        <is>
          <t>Sous-éléments</t>
        </is>
      </c>
      <c r="C48" s="6" t="inlineStr">
        <is>
          <t>Emploi</t>
        </is>
      </c>
      <c r="D48" s="6" t="inlineStr">
        <is>
          <t>Ancienneté</t>
        </is>
      </c>
      <c r="E48" s="6" t="inlineStr">
        <is>
          <t>Niveau d'études</t>
        </is>
      </c>
      <c r="F48" s="6" t="inlineStr">
        <is>
          <t>Date Entrée</t>
        </is>
      </c>
      <c r="G48" s="6" t="inlineStr">
        <is>
          <t>Date Sortie</t>
        </is>
      </c>
      <c r="H48" s="6" t="inlineStr">
        <is>
          <t>Date Naissance</t>
        </is>
      </c>
      <c r="I48" s="6" t="inlineStr">
        <is>
          <t>AGE</t>
        </is>
      </c>
      <c r="J48" s="6" t="inlineStr">
        <is>
          <t>Tranche âge</t>
        </is>
      </c>
      <c r="K48" s="6" t="inlineStr">
        <is>
          <t>Qualif</t>
        </is>
      </c>
      <c r="L48" s="6" t="inlineStr">
        <is>
          <t>Coef</t>
        </is>
      </c>
      <c r="M48" s="6" t="inlineStr">
        <is>
          <t>Th 2025</t>
        </is>
      </c>
      <c r="N48" s="6" t="inlineStr">
        <is>
          <t>Th 2024</t>
        </is>
      </c>
      <c r="O48" s="6" t="inlineStr">
        <is>
          <t>Th 2023</t>
        </is>
      </c>
      <c r="P48" s="6" t="inlineStr">
        <is>
          <t>Th2022</t>
        </is>
      </c>
      <c r="Q48" s="6" t="inlineStr">
        <is>
          <t>Th2021</t>
        </is>
      </c>
      <c r="R48" s="6" t="inlineStr">
        <is>
          <t>Th2020</t>
        </is>
      </c>
      <c r="S48" s="6" t="inlineStr">
        <is>
          <t>Augmentation</t>
        </is>
      </c>
      <c r="T48" s="6" t="inlineStr">
        <is>
          <t>Lieu</t>
        </is>
      </c>
      <c r="U48" s="6" t="inlineStr">
        <is>
          <t>Mutuelle</t>
        </is>
      </c>
      <c r="V48" s="6" t="inlineStr">
        <is>
          <t>Adresse</t>
        </is>
      </c>
      <c r="W48" s="6" t="inlineStr">
        <is>
          <t>Contrat</t>
        </is>
      </c>
      <c r="X48" s="6" t="inlineStr">
        <is>
          <t>Cout mutuelle salarié paie novembre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2025-09-23T09:45:05Z</dcterms:created>
  <cp:revision>0</cp:revision>
</cp:coreProperties>
</file>